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46216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46216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46216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46216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46216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46216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46216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46216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46216</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46216</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s="2" t="inlineStr">
        <is>
          <t>Skogsalm
Svinrot
Blåsippa
Gullviva</t>
        </is>
      </c>
      <c r="V11">
        <f>HYPERLINK("https://klasma.github.io/Logging_0560/artfynd/A 59418-2022 artfynd.xlsx", "A 59418-2022")</f>
        <v/>
      </c>
      <c r="W11">
        <f>HYPERLINK("https://klasma.github.io/Logging_0560/kartor/A 59418-2022 karta.png", "A 59418-2022")</f>
        <v/>
      </c>
      <c r="Y11">
        <f>HYPERLINK("https://klasma.github.io/Logging_0560/klagomål/A 59418-2022 FSC-klagomål.docx", "A 59418-2022")</f>
        <v/>
      </c>
      <c r="Z11">
        <f>HYPERLINK("https://klasma.github.io/Logging_0560/klagomålsmail/A 59418-2022 FSC-klagomål mail.docx", "A 59418-2022")</f>
        <v/>
      </c>
      <c r="AA11">
        <f>HYPERLINK("https://klasma.github.io/Logging_0560/tillsyn/A 59418-2022 tillsynsbegäran.docx", "A 59418-2022")</f>
        <v/>
      </c>
      <c r="AB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46216</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s="2" t="inlineStr">
        <is>
          <t>Talltita
Kråka
Kungsfågel
Orre</t>
        </is>
      </c>
      <c r="V12">
        <f>HYPERLINK("https://klasma.github.io/Logging_0560/artfynd/A 61789-2025 artfynd.xlsx", "A 61789-2025")</f>
        <v/>
      </c>
      <c r="W12">
        <f>HYPERLINK("https://klasma.github.io/Logging_0560/kartor/A 61789-2025 karta.png", "A 61789-2025")</f>
        <v/>
      </c>
      <c r="Y12">
        <f>HYPERLINK("https://klasma.github.io/Logging_0560/klagomål/A 61789-2025 FSC-klagomål.docx", "A 61789-2025")</f>
        <v/>
      </c>
      <c r="Z12">
        <f>HYPERLINK("https://klasma.github.io/Logging_0560/klagomålsmail/A 61789-2025 FSC-klagomål mail.docx", "A 61789-2025")</f>
        <v/>
      </c>
      <c r="AA12">
        <f>HYPERLINK("https://klasma.github.io/Logging_0560/tillsyn/A 61789-2025 tillsynsbegäran.docx", "A 61789-2025")</f>
        <v/>
      </c>
      <c r="AB12">
        <f>HYPERLINK("https://klasma.github.io/Logging_0560/tillsynsmail/A 61789-2025 tillsynsbegäran mail.docx", "A 61789-2025")</f>
        <v/>
      </c>
      <c r="AC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46216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46216</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s="2" t="inlineStr">
        <is>
          <t>Hässleklocka
Svart trolldruva
Underviol</t>
        </is>
      </c>
      <c r="V14">
        <f>HYPERLINK("https://klasma.github.io/Logging_0560/artfynd/A 35665-2024 artfynd.xlsx", "A 35665-2024")</f>
        <v/>
      </c>
      <c r="W14">
        <f>HYPERLINK("https://klasma.github.io/Logging_0560/kartor/A 35665-2024 karta.png", "A 35665-2024")</f>
        <v/>
      </c>
      <c r="Y14">
        <f>HYPERLINK("https://klasma.github.io/Logging_0560/klagomål/A 35665-2024 FSC-klagomål.docx", "A 35665-2024")</f>
        <v/>
      </c>
      <c r="Z14">
        <f>HYPERLINK("https://klasma.github.io/Logging_0560/klagomålsmail/A 35665-2024 FSC-klagomål mail.docx", "A 35665-2024")</f>
        <v/>
      </c>
      <c r="AA14">
        <f>HYPERLINK("https://klasma.github.io/Logging_0560/tillsyn/A 35665-2024 tillsynsbegäran.docx", "A 35665-2024")</f>
        <v/>
      </c>
      <c r="AB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46216</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s="2" t="inlineStr">
        <is>
          <t>Gammelekslav
Rosa skärelav
Skuggorangelav</t>
        </is>
      </c>
      <c r="V15">
        <f>HYPERLINK("https://klasma.github.io/Logging_0560/artfynd/A 36575-2025 artfynd.xlsx", "A 36575-2025")</f>
        <v/>
      </c>
      <c r="W15">
        <f>HYPERLINK("https://klasma.github.io/Logging_0560/kartor/A 36575-2025 karta.png", "A 36575-2025")</f>
        <v/>
      </c>
      <c r="Y15">
        <f>HYPERLINK("https://klasma.github.io/Logging_0560/klagomål/A 36575-2025 FSC-klagomål.docx", "A 36575-2025")</f>
        <v/>
      </c>
      <c r="Z15">
        <f>HYPERLINK("https://klasma.github.io/Logging_0560/klagomålsmail/A 36575-2025 FSC-klagomål mail.docx", "A 36575-2025")</f>
        <v/>
      </c>
      <c r="AA15">
        <f>HYPERLINK("https://klasma.github.io/Logging_0560/tillsyn/A 36575-2025 tillsynsbegäran.docx", "A 36575-2025")</f>
        <v/>
      </c>
      <c r="AB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46216</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s="2" t="inlineStr">
        <is>
          <t>Fällmossa
Platt fjädermossa
Svart trolldruva</t>
        </is>
      </c>
      <c r="V16">
        <f>HYPERLINK("https://klasma.github.io/Logging_0560/artfynd/A 62659-2025 artfynd.xlsx", "A 62659-2025")</f>
        <v/>
      </c>
      <c r="W16">
        <f>HYPERLINK("https://klasma.github.io/Logging_0560/kartor/A 62659-2025 karta.png", "A 62659-2025")</f>
        <v/>
      </c>
      <c r="Y16">
        <f>HYPERLINK("https://klasma.github.io/Logging_0560/klagomål/A 62659-2025 FSC-klagomål.docx", "A 62659-2025")</f>
        <v/>
      </c>
      <c r="Z16">
        <f>HYPERLINK("https://klasma.github.io/Logging_0560/klagomålsmail/A 62659-2025 FSC-klagomål mail.docx", "A 62659-2025")</f>
        <v/>
      </c>
      <c r="AA16">
        <f>HYPERLINK("https://klasma.github.io/Logging_0560/tillsyn/A 62659-2025 tillsynsbegäran.docx", "A 62659-2025")</f>
        <v/>
      </c>
      <c r="AB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46216</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s="2" t="inlineStr">
        <is>
          <t>Fällmossa
Rostfläck
Svart trolldruva</t>
        </is>
      </c>
      <c r="V17">
        <f>HYPERLINK("https://klasma.github.io/Logging_0560/artfynd/A 590-2026 artfynd.xlsx", "A 590-2026")</f>
        <v/>
      </c>
      <c r="W17">
        <f>HYPERLINK("https://klasma.github.io/Logging_0560/kartor/A 590-2026 karta.png", "A 590-2026")</f>
        <v/>
      </c>
      <c r="Y17">
        <f>HYPERLINK("https://klasma.github.io/Logging_0560/klagomål/A 590-2026 FSC-klagomål.docx", "A 590-2026")</f>
        <v/>
      </c>
      <c r="Z17">
        <f>HYPERLINK("https://klasma.github.io/Logging_0560/klagomålsmail/A 590-2026 FSC-klagomål mail.docx", "A 590-2026")</f>
        <v/>
      </c>
      <c r="AA17">
        <f>HYPERLINK("https://klasma.github.io/Logging_0560/tillsyn/A 590-2026 tillsynsbegäran.docx", "A 590-2026")</f>
        <v/>
      </c>
      <c r="AB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46216</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s="2" t="inlineStr">
        <is>
          <t>Lungrot
Fällmossa
Svart trolldruva</t>
        </is>
      </c>
      <c r="V18">
        <f>HYPERLINK("https://klasma.github.io/Logging_0560/artfynd/A 62647-2025 artfynd.xlsx", "A 62647-2025")</f>
        <v/>
      </c>
      <c r="W18">
        <f>HYPERLINK("https://klasma.github.io/Logging_0560/kartor/A 62647-2025 karta.png", "A 62647-2025")</f>
        <v/>
      </c>
      <c r="Y18">
        <f>HYPERLINK("https://klasma.github.io/Logging_0560/klagomål/A 62647-2025 FSC-klagomål.docx", "A 62647-2025")</f>
        <v/>
      </c>
      <c r="Z18">
        <f>HYPERLINK("https://klasma.github.io/Logging_0560/klagomålsmail/A 62647-2025 FSC-klagomål mail.docx", "A 62647-2025")</f>
        <v/>
      </c>
      <c r="AA18">
        <f>HYPERLINK("https://klasma.github.io/Logging_0560/tillsyn/A 62647-2025 tillsynsbegäran.docx", "A 62647-2025")</f>
        <v/>
      </c>
      <c r="AB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46216</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s="2" t="inlineStr">
        <is>
          <t>Ask
Svart trolldruva
Blåsippa</t>
        </is>
      </c>
      <c r="V19">
        <f>HYPERLINK("https://klasma.github.io/Logging_0560/artfynd/A 19066-2026 artfynd.xlsx", "A 19066-2026")</f>
        <v/>
      </c>
      <c r="W19">
        <f>HYPERLINK("https://klasma.github.io/Logging_0560/kartor/A 19066-2026 karta.png", "A 19066-2026")</f>
        <v/>
      </c>
      <c r="Y19">
        <f>HYPERLINK("https://klasma.github.io/Logging_0560/klagomål/A 19066-2026 FSC-klagomål.docx", "A 19066-2026")</f>
        <v/>
      </c>
      <c r="Z19">
        <f>HYPERLINK("https://klasma.github.io/Logging_0560/klagomålsmail/A 19066-2026 FSC-klagomål mail.docx", "A 19066-2026")</f>
        <v/>
      </c>
      <c r="AA19">
        <f>HYPERLINK("https://klasma.github.io/Logging_0560/tillsyn/A 19066-2026 tillsynsbegäran.docx", "A 19066-2026")</f>
        <v/>
      </c>
      <c r="AB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46216</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46216</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46216</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s="2" t="inlineStr">
        <is>
          <t>Fällmossa
Blåsippa</t>
        </is>
      </c>
      <c r="V22">
        <f>HYPERLINK("https://klasma.github.io/Logging_0560/artfynd/A 40509-2023 artfynd.xlsx", "A 40509-2023")</f>
        <v/>
      </c>
      <c r="W22">
        <f>HYPERLINK("https://klasma.github.io/Logging_0560/kartor/A 40509-2023 karta.png", "A 40509-2023")</f>
        <v/>
      </c>
      <c r="Y22">
        <f>HYPERLINK("https://klasma.github.io/Logging_0560/klagomål/A 40509-2023 FSC-klagomål.docx", "A 40509-2023")</f>
        <v/>
      </c>
      <c r="Z22">
        <f>HYPERLINK("https://klasma.github.io/Logging_0560/klagomålsmail/A 40509-2023 FSC-klagomål mail.docx", "A 40509-2023")</f>
        <v/>
      </c>
      <c r="AA22">
        <f>HYPERLINK("https://klasma.github.io/Logging_0560/tillsyn/A 40509-2023 tillsynsbegäran.docx", "A 40509-2023")</f>
        <v/>
      </c>
      <c r="AB22">
        <f>HYPERLINK("https://klasma.github.io/Logging_0560/tillsynsmail/A 40509-2023 tillsynsbegäran mail.docx", "A 40509-2023")</f>
        <v/>
      </c>
    </row>
    <row r="23" ht="15" customHeight="1">
      <c r="A23" t="inlineStr">
        <is>
          <t>A 4004-2026</t>
        </is>
      </c>
      <c r="B23" t="inlineStr">
        <is>
          <t>avverkningsanmälan</t>
        </is>
      </c>
      <c r="C23" t="inlineStr">
        <is>
          <t>Föryngringsavverkning</t>
        </is>
      </c>
      <c r="D23" s="1" t="n">
        <v>46044</v>
      </c>
      <c r="E23" s="1" t="n">
        <v>46216</v>
      </c>
      <c r="F23" t="inlineStr">
        <is>
          <t>ÖSTERGÖTLANDS LÄN</t>
        </is>
      </c>
      <c r="G23" t="inlineStr">
        <is>
          <t>BOXHOLM</t>
        </is>
      </c>
      <c r="I23" t="n">
        <v>2.7</v>
      </c>
      <c r="J23" t="n">
        <v>1</v>
      </c>
      <c r="K23" t="n">
        <v>0</v>
      </c>
      <c r="L23" t="n">
        <v>0</v>
      </c>
      <c r="M23" t="n">
        <v>1</v>
      </c>
      <c r="N23" t="n">
        <v>0</v>
      </c>
      <c r="O23" t="n">
        <v>0</v>
      </c>
      <c r="P23" t="n">
        <v>0</v>
      </c>
      <c r="Q23" t="n">
        <v>1</v>
      </c>
      <c r="R23" t="n">
        <v>1</v>
      </c>
      <c r="S23" t="n">
        <v>2</v>
      </c>
      <c r="T23" t="n">
        <v>5</v>
      </c>
      <c r="U23" s="2" t="inlineStr">
        <is>
          <t>Krokfibbla
Blåsippa</t>
        </is>
      </c>
      <c r="V23">
        <f>HYPERLINK("https://klasma.github.io/Logging_0560/artfynd/A 4004-2026 artfynd.xlsx", "A 4004-2026")</f>
        <v/>
      </c>
      <c r="W23">
        <f>HYPERLINK("https://klasma.github.io/Logging_0560/kartor/A 4004-2026 karta.png", "A 4004-2026")</f>
        <v/>
      </c>
      <c r="Y23">
        <f>HYPERLINK("https://klasma.github.io/Logging_0560/klagomål/A 4004-2026 FSC-klagomål.docx", "A 4004-2026")</f>
        <v/>
      </c>
      <c r="Z23">
        <f>HYPERLINK("https://klasma.github.io/Logging_0560/klagomålsmail/A 4004-2026 FSC-klagomål mail.docx", "A 4004-2026")</f>
        <v/>
      </c>
      <c r="AA23">
        <f>HYPERLINK("https://klasma.github.io/Logging_0560/tillsyn/A 4004-2026 tillsynsbegäran.docx", "A 4004-2026")</f>
        <v/>
      </c>
      <c r="AB23">
        <f>HYPERLINK("https://klasma.github.io/Logging_0560/tillsynsmail/A 4004-2026 tillsynsbegäran mail.docx", "A 4004-2026")</f>
        <v/>
      </c>
    </row>
    <row r="24" ht="15" customHeight="1">
      <c r="A24" t="inlineStr">
        <is>
          <t>A 61795-2025</t>
        </is>
      </c>
      <c r="B24" t="inlineStr">
        <is>
          <t>avverkningsanmälan</t>
        </is>
      </c>
      <c r="C24" t="inlineStr">
        <is>
          <t>Föryngringsavverkning</t>
        </is>
      </c>
      <c r="D24" s="1" t="n">
        <v>46002</v>
      </c>
      <c r="E24" s="1" t="n">
        <v>46216</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s="2" t="inlineStr">
        <is>
          <t>Knärot
Kolflarnlav</t>
        </is>
      </c>
      <c r="V24">
        <f>HYPERLINK("https://klasma.github.io/Logging_0560/artfynd/A 61795-2025 artfynd.xlsx", "A 61795-2025")</f>
        <v/>
      </c>
      <c r="W24">
        <f>HYPERLINK("https://klasma.github.io/Logging_0560/kartor/A 61795-2025 karta.png", "A 61795-2025")</f>
        <v/>
      </c>
      <c r="X24">
        <f>HYPERLINK("https://klasma.github.io/Logging_0560/knärot/A 61795-2025 karta knärot.png", "A 61795-2025")</f>
        <v/>
      </c>
      <c r="Y24">
        <f>HYPERLINK("https://klasma.github.io/Logging_0560/klagomål/A 61795-2025 FSC-klagomål.docx", "A 61795-2025")</f>
        <v/>
      </c>
      <c r="Z24">
        <f>HYPERLINK("https://klasma.github.io/Logging_0560/klagomålsmail/A 61795-2025 FSC-klagomål mail.docx", "A 61795-2025")</f>
        <v/>
      </c>
      <c r="AA24">
        <f>HYPERLINK("https://klasma.github.io/Logging_0560/tillsyn/A 61795-2025 tillsynsbegäran.docx", "A 61795-2025")</f>
        <v/>
      </c>
      <c r="AB24">
        <f>HYPERLINK("https://klasma.github.io/Logging_0560/tillsynsmail/A 61795-2025 tillsynsbegäran mail.docx", "A 61795-2025")</f>
        <v/>
      </c>
    </row>
    <row r="25" ht="15" customHeight="1">
      <c r="A25" t="inlineStr">
        <is>
          <t>A 26638-2023</t>
        </is>
      </c>
      <c r="B25" t="inlineStr">
        <is>
          <t>avverkningsanmälan</t>
        </is>
      </c>
      <c r="C25" t="inlineStr">
        <is>
          <t>Föryngringsavverkning</t>
        </is>
      </c>
      <c r="D25" s="1" t="n">
        <v>45092</v>
      </c>
      <c r="E25" s="1" t="n">
        <v>46216</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s="2" t="inlineStr">
        <is>
          <t>Ullticka
Vedtrappmossa</t>
        </is>
      </c>
      <c r="V25">
        <f>HYPERLINK("https://klasma.github.io/Logging_0560/artfynd/A 26638-2023 artfynd.xlsx", "A 26638-2023")</f>
        <v/>
      </c>
      <c r="W25">
        <f>HYPERLINK("https://klasma.github.io/Logging_0560/kartor/A 26638-2023 karta.png", "A 26638-2023")</f>
        <v/>
      </c>
      <c r="Y25">
        <f>HYPERLINK("https://klasma.github.io/Logging_0560/klagomål/A 26638-2023 FSC-klagomål.docx", "A 26638-2023")</f>
        <v/>
      </c>
      <c r="Z25">
        <f>HYPERLINK("https://klasma.github.io/Logging_0560/klagomålsmail/A 26638-2023 FSC-klagomål mail.docx", "A 26638-2023")</f>
        <v/>
      </c>
      <c r="AA25">
        <f>HYPERLINK("https://klasma.github.io/Logging_0560/tillsyn/A 26638-2023 tillsynsbegäran.docx", "A 26638-2023")</f>
        <v/>
      </c>
      <c r="AB25">
        <f>HYPERLINK("https://klasma.github.io/Logging_0560/tillsynsmail/A 26638-2023 tillsynsbegäran mail.docx", "A 26638-2023")</f>
        <v/>
      </c>
    </row>
    <row r="26" ht="15" customHeight="1">
      <c r="A26" t="inlineStr">
        <is>
          <t>A 14785-2026</t>
        </is>
      </c>
      <c r="B26" t="inlineStr">
        <is>
          <t>avverkningsanmälan</t>
        </is>
      </c>
      <c r="C26" t="inlineStr">
        <is>
          <t>Avverkning för att bevara och utveckla /försöksver</t>
        </is>
      </c>
      <c r="D26" s="1" t="n">
        <v>46101</v>
      </c>
      <c r="E26" s="1" t="n">
        <v>46216</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s="2" t="inlineStr">
        <is>
          <t>Svinrot
Grönvit nattviol</t>
        </is>
      </c>
      <c r="V26">
        <f>HYPERLINK("https://klasma.github.io/Logging_0560/artfynd/A 14785-2026 artfynd.xlsx", "A 14785-2026")</f>
        <v/>
      </c>
      <c r="W26">
        <f>HYPERLINK("https://klasma.github.io/Logging_0560/kartor/A 14785-2026 karta.png", "A 14785-2026")</f>
        <v/>
      </c>
      <c r="Y26">
        <f>HYPERLINK("https://klasma.github.io/Logging_0560/klagomål/A 14785-2026 FSC-klagomål.docx", "A 14785-2026")</f>
        <v/>
      </c>
      <c r="Z26">
        <f>HYPERLINK("https://klasma.github.io/Logging_0560/klagomålsmail/A 14785-2026 FSC-klagomål mail.docx", "A 14785-2026")</f>
        <v/>
      </c>
      <c r="AA26">
        <f>HYPERLINK("https://klasma.github.io/Logging_0560/tillsyn/A 14785-2026 tillsynsbegäran.docx", "A 14785-2026")</f>
        <v/>
      </c>
      <c r="AB26">
        <f>HYPERLINK("https://klasma.github.io/Logging_0560/tillsynsmail/A 14785-2026 tillsynsbegäran mail.docx", "A 14785-2026")</f>
        <v/>
      </c>
    </row>
    <row r="27" ht="15" customHeight="1">
      <c r="A27" t="inlineStr">
        <is>
          <t>A 26907-2022</t>
        </is>
      </c>
      <c r="B27" t="inlineStr">
        <is>
          <t>avverkningsanmälan</t>
        </is>
      </c>
      <c r="C27" t="inlineStr">
        <is>
          <t>Föryngringsavverkning</t>
        </is>
      </c>
      <c r="D27" s="1" t="n">
        <v>44740</v>
      </c>
      <c r="E27" s="1" t="n">
        <v>46216</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s="2" t="inlineStr">
        <is>
          <t>Hasselmus
Orre</t>
        </is>
      </c>
      <c r="V27">
        <f>HYPERLINK("https://klasma.github.io/Logging_0560/artfynd/A 26907-2022 artfynd.xlsx", "A 26907-2022")</f>
        <v/>
      </c>
      <c r="W27">
        <f>HYPERLINK("https://klasma.github.io/Logging_0560/kartor/A 26907-2022 karta.png", "A 26907-2022")</f>
        <v/>
      </c>
      <c r="Y27">
        <f>HYPERLINK("https://klasma.github.io/Logging_0560/klagomål/A 26907-2022 FSC-klagomål.docx", "A 26907-2022")</f>
        <v/>
      </c>
      <c r="Z27">
        <f>HYPERLINK("https://klasma.github.io/Logging_0560/klagomålsmail/A 26907-2022 FSC-klagomål mail.docx", "A 26907-2022")</f>
        <v/>
      </c>
      <c r="AA27">
        <f>HYPERLINK("https://klasma.github.io/Logging_0560/tillsyn/A 26907-2022 tillsynsbegäran.docx", "A 26907-2022")</f>
        <v/>
      </c>
      <c r="AB27">
        <f>HYPERLINK("https://klasma.github.io/Logging_0560/tillsynsmail/A 26907-2022 tillsynsbegäran mail.docx", "A 26907-2022")</f>
        <v/>
      </c>
      <c r="AC27">
        <f>HYPERLINK("https://klasma.github.io/Logging_0560/fåglar/A 26907-2022 prioriterade fågelarter.docx", "A 26907-2022")</f>
        <v/>
      </c>
    </row>
    <row r="28" ht="15" customHeight="1">
      <c r="A28" t="inlineStr">
        <is>
          <t>A 5001-2022</t>
        </is>
      </c>
      <c r="B28" t="inlineStr">
        <is>
          <t>avverkningsanmälan</t>
        </is>
      </c>
      <c r="C28" t="inlineStr">
        <is>
          <t>Föryngringsavverkning</t>
        </is>
      </c>
      <c r="D28" s="1" t="n">
        <v>44593</v>
      </c>
      <c r="E28" s="1" t="n">
        <v>46216</v>
      </c>
      <c r="F28" t="inlineStr">
        <is>
          <t>ÖSTERGÖTLANDS LÄN</t>
        </is>
      </c>
      <c r="G28" t="inlineStr">
        <is>
          <t>BOXHOLM</t>
        </is>
      </c>
      <c r="H28" t="inlineStr">
        <is>
          <t>Övriga Aktiebolag</t>
        </is>
      </c>
      <c r="I28" t="n">
        <v>7.9</v>
      </c>
      <c r="J28" t="n">
        <v>0</v>
      </c>
      <c r="K28" t="n">
        <v>0</v>
      </c>
      <c r="L28" t="n">
        <v>1</v>
      </c>
      <c r="M28" t="n">
        <v>0</v>
      </c>
      <c r="N28" t="n">
        <v>0</v>
      </c>
      <c r="O28" t="n">
        <v>0</v>
      </c>
      <c r="P28" t="n">
        <v>0</v>
      </c>
      <c r="Q28" t="n">
        <v>1</v>
      </c>
      <c r="R28" t="n">
        <v>0</v>
      </c>
      <c r="S28" t="n">
        <v>1</v>
      </c>
      <c r="T28" t="n">
        <v>1</v>
      </c>
      <c r="U28" s="2" t="inlineStr">
        <is>
          <t>Carphacis striatus</t>
        </is>
      </c>
      <c r="V28">
        <f>HYPERLINK("https://klasma.github.io/Logging_0560/artfynd/A 5001-2022 artfynd.xlsx", "A 5001-2022")</f>
        <v/>
      </c>
      <c r="W28">
        <f>HYPERLINK("https://klasma.github.io/Logging_0560/kartor/A 5001-2022 karta.png", "A 5001-2022")</f>
        <v/>
      </c>
      <c r="Y28">
        <f>HYPERLINK("https://klasma.github.io/Logging_0560/klagomål/A 5001-2022 FSC-klagomål.docx", "A 5001-2022")</f>
        <v/>
      </c>
      <c r="Z28">
        <f>HYPERLINK("https://klasma.github.io/Logging_0560/klagomålsmail/A 5001-2022 FSC-klagomål mail.docx", "A 5001-2022")</f>
        <v/>
      </c>
      <c r="AA28">
        <f>HYPERLINK("https://klasma.github.io/Logging_0560/tillsyn/A 5001-2022 tillsynsbegäran.docx", "A 5001-2022")</f>
        <v/>
      </c>
      <c r="AB28">
        <f>HYPERLINK("https://klasma.github.io/Logging_0560/tillsynsmail/A 5001-2022 tillsynsbegäran mail.docx", "A 5001-2022")</f>
        <v/>
      </c>
    </row>
    <row r="29" ht="15" customHeight="1">
      <c r="A29" t="inlineStr">
        <is>
          <t>A 43578-2025</t>
        </is>
      </c>
      <c r="B29" t="inlineStr">
        <is>
          <t>avverkningsanmälan</t>
        </is>
      </c>
      <c r="C29" t="inlineStr">
        <is>
          <t>Föryngringsavverkning</t>
        </is>
      </c>
      <c r="D29" s="1" t="n">
        <v>45911</v>
      </c>
      <c r="E29" s="1" t="n">
        <v>46216</v>
      </c>
      <c r="F29" t="inlineStr">
        <is>
          <t>ÖSTERGÖTLANDS LÄN</t>
        </is>
      </c>
      <c r="G29" t="inlineStr">
        <is>
          <t>BOXHOLM</t>
        </is>
      </c>
      <c r="I29" t="n">
        <v>3</v>
      </c>
      <c r="J29" t="n">
        <v>0</v>
      </c>
      <c r="K29" t="n">
        <v>0</v>
      </c>
      <c r="L29" t="n">
        <v>1</v>
      </c>
      <c r="M29" t="n">
        <v>0</v>
      </c>
      <c r="N29" t="n">
        <v>0</v>
      </c>
      <c r="O29" t="n">
        <v>0</v>
      </c>
      <c r="P29" t="n">
        <v>0</v>
      </c>
      <c r="Q29" t="n">
        <v>1</v>
      </c>
      <c r="R29" t="n">
        <v>0</v>
      </c>
      <c r="S29" t="n">
        <v>1</v>
      </c>
      <c r="T29" t="n">
        <v>1</v>
      </c>
      <c r="U29" s="2" t="inlineStr">
        <is>
          <t>Grynig filtlav</t>
        </is>
      </c>
      <c r="V29">
        <f>HYPERLINK("https://klasma.github.io/Logging_0560/artfynd/A 43578-2025 artfynd.xlsx", "A 43578-2025")</f>
        <v/>
      </c>
      <c r="W29">
        <f>HYPERLINK("https://klasma.github.io/Logging_0560/kartor/A 43578-2025 karta.png", "A 43578-2025")</f>
        <v/>
      </c>
      <c r="Y29">
        <f>HYPERLINK("https://klasma.github.io/Logging_0560/klagomål/A 43578-2025 FSC-klagomål.docx", "A 43578-2025")</f>
        <v/>
      </c>
      <c r="Z29">
        <f>HYPERLINK("https://klasma.github.io/Logging_0560/klagomålsmail/A 43578-2025 FSC-klagomål mail.docx", "A 43578-2025")</f>
        <v/>
      </c>
      <c r="AA29">
        <f>HYPERLINK("https://klasma.github.io/Logging_0560/tillsyn/A 43578-2025 tillsynsbegäran.docx", "A 43578-2025")</f>
        <v/>
      </c>
      <c r="AB29">
        <f>HYPERLINK("https://klasma.github.io/Logging_0560/tillsynsmail/A 43578-2025 tillsynsbegäran mail.docx", "A 43578-2025")</f>
        <v/>
      </c>
    </row>
    <row r="30" ht="15" customHeight="1">
      <c r="A30" t="inlineStr">
        <is>
          <t>A 2669-2022</t>
        </is>
      </c>
      <c r="B30" t="inlineStr">
        <is>
          <t>avverkningsanmälan</t>
        </is>
      </c>
      <c r="C30" t="inlineStr">
        <is>
          <t>Föryngringsavverkning</t>
        </is>
      </c>
      <c r="D30" s="1" t="n">
        <v>44580</v>
      </c>
      <c r="E30" s="1" t="n">
        <v>46216</v>
      </c>
      <c r="F30" t="inlineStr">
        <is>
          <t>ÖSTERGÖTLANDS LÄN</t>
        </is>
      </c>
      <c r="G30" t="inlineStr">
        <is>
          <t>BOXHOLM</t>
        </is>
      </c>
      <c r="I30" t="n">
        <v>2.3</v>
      </c>
      <c r="J30" t="n">
        <v>0</v>
      </c>
      <c r="K30" t="n">
        <v>0</v>
      </c>
      <c r="L30" t="n">
        <v>1</v>
      </c>
      <c r="M30" t="n">
        <v>0</v>
      </c>
      <c r="N30" t="n">
        <v>0</v>
      </c>
      <c r="O30" t="n">
        <v>0</v>
      </c>
      <c r="P30" t="n">
        <v>0</v>
      </c>
      <c r="Q30" t="n">
        <v>1</v>
      </c>
      <c r="R30" t="n">
        <v>0</v>
      </c>
      <c r="S30" t="n">
        <v>1</v>
      </c>
      <c r="T30" t="n">
        <v>2</v>
      </c>
      <c r="U30" s="2" t="inlineStr">
        <is>
          <t>Sommarfibbla</t>
        </is>
      </c>
      <c r="V30">
        <f>HYPERLINK("https://klasma.github.io/Logging_0560/artfynd/A 2669-2022 artfynd.xlsx", "A 2669-2022")</f>
        <v/>
      </c>
      <c r="W30">
        <f>HYPERLINK("https://klasma.github.io/Logging_0560/kartor/A 2669-2022 karta.png", "A 2669-2022")</f>
        <v/>
      </c>
      <c r="Y30">
        <f>HYPERLINK("https://klasma.github.io/Logging_0560/klagomål/A 2669-2022 FSC-klagomål.docx", "A 2669-2022")</f>
        <v/>
      </c>
      <c r="Z30">
        <f>HYPERLINK("https://klasma.github.io/Logging_0560/klagomålsmail/A 2669-2022 FSC-klagomål mail.docx", "A 2669-2022")</f>
        <v/>
      </c>
      <c r="AA30">
        <f>HYPERLINK("https://klasma.github.io/Logging_0560/tillsyn/A 2669-2022 tillsynsbegäran.docx", "A 2669-2022")</f>
        <v/>
      </c>
      <c r="AB30">
        <f>HYPERLINK("https://klasma.github.io/Logging_0560/tillsynsmail/A 2669-2022 tillsynsbegäran mail.docx", "A 2669-2022")</f>
        <v/>
      </c>
    </row>
    <row r="31" ht="15" customHeight="1">
      <c r="A31" t="inlineStr">
        <is>
          <t>A 36475-2025</t>
        </is>
      </c>
      <c r="B31" t="inlineStr">
        <is>
          <t>avverkningsanmälan</t>
        </is>
      </c>
      <c r="C31" t="inlineStr">
        <is>
          <t>Föryngringsavverkning</t>
        </is>
      </c>
      <c r="D31" s="1" t="n">
        <v>45869</v>
      </c>
      <c r="E31" s="1" t="n">
        <v>46216</v>
      </c>
      <c r="F31" t="inlineStr">
        <is>
          <t>ÖSTERGÖTLANDS LÄN</t>
        </is>
      </c>
      <c r="G31" t="inlineStr">
        <is>
          <t>BOXHOLM</t>
        </is>
      </c>
      <c r="H31" t="inlineStr">
        <is>
          <t>Övriga Aktiebolag</t>
        </is>
      </c>
      <c r="I31" t="n">
        <v>2.1</v>
      </c>
      <c r="J31" t="n">
        <v>0</v>
      </c>
      <c r="K31" t="n">
        <v>1</v>
      </c>
      <c r="L31" t="n">
        <v>0</v>
      </c>
      <c r="M31" t="n">
        <v>0</v>
      </c>
      <c r="N31" t="n">
        <v>0</v>
      </c>
      <c r="O31" t="n">
        <v>0</v>
      </c>
      <c r="P31" t="n">
        <v>0</v>
      </c>
      <c r="Q31" t="n">
        <v>0</v>
      </c>
      <c r="R31" t="n">
        <v>0</v>
      </c>
      <c r="S31" t="n">
        <v>1</v>
      </c>
      <c r="T31" t="n">
        <v>2</v>
      </c>
      <c r="U31" s="2" t="inlineStr">
        <is>
          <t>Tibast</t>
        </is>
      </c>
      <c r="V31">
        <f>HYPERLINK("https://klasma.github.io/Logging_0560/artfynd/A 36475-2025 artfynd.xlsx", "A 36475-2025")</f>
        <v/>
      </c>
      <c r="W31">
        <f>HYPERLINK("https://klasma.github.io/Logging_0560/kartor/A 36475-2025 karta.png", "A 36475-2025")</f>
        <v/>
      </c>
      <c r="Y31">
        <f>HYPERLINK("https://klasma.github.io/Logging_0560/klagomål/A 36475-2025 FSC-klagomål.docx", "A 36475-2025")</f>
        <v/>
      </c>
      <c r="Z31">
        <f>HYPERLINK("https://klasma.github.io/Logging_0560/klagomålsmail/A 36475-2025 FSC-klagomål mail.docx", "A 36475-2025")</f>
        <v/>
      </c>
      <c r="AA31">
        <f>HYPERLINK("https://klasma.github.io/Logging_0560/tillsyn/A 36475-2025 tillsynsbegäran.docx", "A 36475-2025")</f>
        <v/>
      </c>
      <c r="AB31">
        <f>HYPERLINK("https://klasma.github.io/Logging_0560/tillsynsmail/A 36475-2025 tillsynsbegäran mail.docx", "A 36475-2025")</f>
        <v/>
      </c>
    </row>
    <row r="32" ht="15" customHeight="1">
      <c r="A32" t="inlineStr">
        <is>
          <t>A 16755-2022</t>
        </is>
      </c>
      <c r="B32" t="inlineStr">
        <is>
          <t>avverkningsanmälan</t>
        </is>
      </c>
      <c r="C32" t="inlineStr">
        <is>
          <t>Föryngringsavverkning</t>
        </is>
      </c>
      <c r="D32" s="1" t="n">
        <v>44673</v>
      </c>
      <c r="E32" s="1" t="n">
        <v>46216</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s="2" t="inlineStr">
        <is>
          <t>Sommarfibbla</t>
        </is>
      </c>
      <c r="V32">
        <f>HYPERLINK("https://klasma.github.io/Logging_0560/artfynd/A 16755-2022 artfynd.xlsx", "A 16755-2022")</f>
        <v/>
      </c>
      <c r="W32">
        <f>HYPERLINK("https://klasma.github.io/Logging_0560/kartor/A 16755-2022 karta.png", "A 16755-2022")</f>
        <v/>
      </c>
      <c r="Y32">
        <f>HYPERLINK("https://klasma.github.io/Logging_0560/klagomål/A 16755-2022 FSC-klagomål.docx", "A 16755-2022")</f>
        <v/>
      </c>
      <c r="Z32">
        <f>HYPERLINK("https://klasma.github.io/Logging_0560/klagomålsmail/A 16755-2022 FSC-klagomål mail.docx", "A 16755-2022")</f>
        <v/>
      </c>
      <c r="AA32">
        <f>HYPERLINK("https://klasma.github.io/Logging_0560/tillsyn/A 16755-2022 tillsynsbegäran.docx", "A 16755-2022")</f>
        <v/>
      </c>
      <c r="AB32">
        <f>HYPERLINK("https://klasma.github.io/Logging_0560/tillsynsmail/A 16755-2022 tillsynsbegäran mail.docx", "A 16755-2022")</f>
        <v/>
      </c>
    </row>
    <row r="33" ht="15" customHeight="1">
      <c r="A33" t="inlineStr">
        <is>
          <t>A 64028-2025</t>
        </is>
      </c>
      <c r="B33" t="inlineStr">
        <is>
          <t>avverkningsanmälan</t>
        </is>
      </c>
      <c r="C33" t="inlineStr">
        <is>
          <t>Föryngringsavverkning</t>
        </is>
      </c>
      <c r="D33" s="1" t="n">
        <v>46021</v>
      </c>
      <c r="E33" s="1" t="n">
        <v>46216</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s="2" t="inlineStr">
        <is>
          <t>Blåsippa</t>
        </is>
      </c>
      <c r="V33">
        <f>HYPERLINK("https://klasma.github.io/Logging_0560/artfynd/A 64028-2025 artfynd.xlsx", "A 64028-2025")</f>
        <v/>
      </c>
      <c r="W33">
        <f>HYPERLINK("https://klasma.github.io/Logging_0560/kartor/A 64028-2025 karta.png", "A 64028-2025")</f>
        <v/>
      </c>
      <c r="Y33">
        <f>HYPERLINK("https://klasma.github.io/Logging_0560/klagomål/A 64028-2025 FSC-klagomål.docx", "A 64028-2025")</f>
        <v/>
      </c>
      <c r="Z33">
        <f>HYPERLINK("https://klasma.github.io/Logging_0560/klagomålsmail/A 64028-2025 FSC-klagomål mail.docx", "A 64028-2025")</f>
        <v/>
      </c>
      <c r="AA33">
        <f>HYPERLINK("https://klasma.github.io/Logging_0560/tillsyn/A 64028-2025 tillsynsbegäran.docx", "A 64028-2025")</f>
        <v/>
      </c>
      <c r="AB33">
        <f>HYPERLINK("https://klasma.github.io/Logging_0560/tillsynsmail/A 64028-2025 tillsynsbegäran mail.docx", "A 64028-2025")</f>
        <v/>
      </c>
    </row>
    <row r="34" ht="15" customHeight="1">
      <c r="A34" t="inlineStr">
        <is>
          <t>A 52847-2024</t>
        </is>
      </c>
      <c r="B34" t="inlineStr">
        <is>
          <t>avverkningsanmälan</t>
        </is>
      </c>
      <c r="C34" t="inlineStr">
        <is>
          <t>Föryngringsavverkning</t>
        </is>
      </c>
      <c r="D34" s="1" t="n">
        <v>45610</v>
      </c>
      <c r="E34" s="1" t="n">
        <v>46216</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s="2" t="inlineStr">
        <is>
          <t>Vårstarr</t>
        </is>
      </c>
      <c r="V34">
        <f>HYPERLINK("https://klasma.github.io/Logging_0560/artfynd/A 52847-2024 artfynd.xlsx", "A 52847-2024")</f>
        <v/>
      </c>
      <c r="W34">
        <f>HYPERLINK("https://klasma.github.io/Logging_0560/kartor/A 52847-2024 karta.png", "A 52847-2024")</f>
        <v/>
      </c>
      <c r="Y34">
        <f>HYPERLINK("https://klasma.github.io/Logging_0560/klagomål/A 52847-2024 FSC-klagomål.docx", "A 52847-2024")</f>
        <v/>
      </c>
      <c r="Z34">
        <f>HYPERLINK("https://klasma.github.io/Logging_0560/klagomålsmail/A 52847-2024 FSC-klagomål mail.docx", "A 52847-2024")</f>
        <v/>
      </c>
      <c r="AA34">
        <f>HYPERLINK("https://klasma.github.io/Logging_0560/tillsyn/A 52847-2024 tillsynsbegäran.docx", "A 52847-2024")</f>
        <v/>
      </c>
      <c r="AB34">
        <f>HYPERLINK("https://klasma.github.io/Logging_0560/tillsynsmail/A 52847-2024 tillsynsbegäran mail.docx", "A 52847-2024")</f>
        <v/>
      </c>
    </row>
    <row r="35" ht="15" customHeight="1">
      <c r="A35" t="inlineStr">
        <is>
          <t>A 29396-2023</t>
        </is>
      </c>
      <c r="B35" t="inlineStr">
        <is>
          <t>avverkningsanmälan</t>
        </is>
      </c>
      <c r="C35" t="inlineStr">
        <is>
          <t>Föryngringsavverkning</t>
        </is>
      </c>
      <c r="D35" s="1" t="n">
        <v>45106</v>
      </c>
      <c r="E35" s="1" t="n">
        <v>46216</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s="2" t="inlineStr">
        <is>
          <t>Gul dropplav</t>
        </is>
      </c>
      <c r="V35">
        <f>HYPERLINK("https://klasma.github.io/Logging_0560/artfynd/A 29396-2023 artfynd.xlsx", "A 29396-2023")</f>
        <v/>
      </c>
      <c r="W35">
        <f>HYPERLINK("https://klasma.github.io/Logging_0560/kartor/A 29396-2023 karta.png", "A 29396-2023")</f>
        <v/>
      </c>
      <c r="Y35">
        <f>HYPERLINK("https://klasma.github.io/Logging_0560/klagomål/A 29396-2023 FSC-klagomål.docx", "A 29396-2023")</f>
        <v/>
      </c>
      <c r="Z35">
        <f>HYPERLINK("https://klasma.github.io/Logging_0560/klagomålsmail/A 29396-2023 FSC-klagomål mail.docx", "A 29396-2023")</f>
        <v/>
      </c>
      <c r="AA35">
        <f>HYPERLINK("https://klasma.github.io/Logging_0560/tillsyn/A 29396-2023 tillsynsbegäran.docx", "A 29396-2023")</f>
        <v/>
      </c>
      <c r="AB35">
        <f>HYPERLINK("https://klasma.github.io/Logging_0560/tillsynsmail/A 29396-2023 tillsynsbegäran mail.docx", "A 29396-2023")</f>
        <v/>
      </c>
    </row>
    <row r="36" ht="15" customHeight="1">
      <c r="A36" t="inlineStr">
        <is>
          <t>A 10733-2024</t>
        </is>
      </c>
      <c r="B36" t="inlineStr">
        <is>
          <t>avverkningsanmälan</t>
        </is>
      </c>
      <c r="C36" t="inlineStr">
        <is>
          <t>Föryngringsavverkning</t>
        </is>
      </c>
      <c r="D36" s="1" t="n">
        <v>45369</v>
      </c>
      <c r="E36" s="1" t="n">
        <v>46216</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s="2" t="inlineStr">
        <is>
          <t>Knärot</t>
        </is>
      </c>
      <c r="V36">
        <f>HYPERLINK("https://klasma.github.io/Logging_0560/artfynd/A 10733-2024 artfynd.xlsx", "A 10733-2024")</f>
        <v/>
      </c>
      <c r="W36">
        <f>HYPERLINK("https://klasma.github.io/Logging_0560/kartor/A 10733-2024 karta.png", "A 10733-2024")</f>
        <v/>
      </c>
      <c r="X36">
        <f>HYPERLINK("https://klasma.github.io/Logging_0560/knärot/A 10733-2024 karta knärot.png", "A 10733-2024")</f>
        <v/>
      </c>
      <c r="Y36">
        <f>HYPERLINK("https://klasma.github.io/Logging_0560/klagomål/A 10733-2024 FSC-klagomål.docx", "A 10733-2024")</f>
        <v/>
      </c>
      <c r="Z36">
        <f>HYPERLINK("https://klasma.github.io/Logging_0560/klagomålsmail/A 10733-2024 FSC-klagomål mail.docx", "A 10733-2024")</f>
        <v/>
      </c>
      <c r="AA36">
        <f>HYPERLINK("https://klasma.github.io/Logging_0560/tillsyn/A 10733-2024 tillsynsbegäran.docx", "A 10733-2024")</f>
        <v/>
      </c>
      <c r="AB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46216</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s="2" t="inlineStr">
        <is>
          <t>Kalkkärrsgrynsnäcka</t>
        </is>
      </c>
      <c r="V37">
        <f>HYPERLINK("https://klasma.github.io/Logging_0560/artfynd/A 44823-2023 artfynd.xlsx", "A 44823-2023")</f>
        <v/>
      </c>
      <c r="W37">
        <f>HYPERLINK("https://klasma.github.io/Logging_0560/kartor/A 44823-2023 karta.png", "A 44823-2023")</f>
        <v/>
      </c>
      <c r="Y37">
        <f>HYPERLINK("https://klasma.github.io/Logging_0560/klagomål/A 44823-2023 FSC-klagomål.docx", "A 44823-2023")</f>
        <v/>
      </c>
      <c r="Z37">
        <f>HYPERLINK("https://klasma.github.io/Logging_0560/klagomålsmail/A 44823-2023 FSC-klagomål mail.docx", "A 44823-2023")</f>
        <v/>
      </c>
      <c r="AA37">
        <f>HYPERLINK("https://klasma.github.io/Logging_0560/tillsyn/A 44823-2023 tillsynsbegäran.docx", "A 44823-2023")</f>
        <v/>
      </c>
      <c r="AB37">
        <f>HYPERLINK("https://klasma.github.io/Logging_0560/tillsynsmail/A 44823-2023 tillsynsbegäran mail.docx", "A 44823-2023")</f>
        <v/>
      </c>
    </row>
    <row r="38" ht="15" customHeight="1">
      <c r="A38" t="inlineStr">
        <is>
          <t>A 53616-2024</t>
        </is>
      </c>
      <c r="B38" t="inlineStr">
        <is>
          <t>avverkningsanmälan</t>
        </is>
      </c>
      <c r="C38" t="inlineStr">
        <is>
          <t>Föryngringsavverkning</t>
        </is>
      </c>
      <c r="D38" s="1" t="n">
        <v>45614</v>
      </c>
      <c r="E38" s="1" t="n">
        <v>46216</v>
      </c>
      <c r="F38" t="inlineStr">
        <is>
          <t>ÖSTERGÖTLANDS LÄN</t>
        </is>
      </c>
      <c r="G38" t="inlineStr">
        <is>
          <t>BOXHOLM</t>
        </is>
      </c>
      <c r="I38" t="n">
        <v>2.3</v>
      </c>
      <c r="J38" t="n">
        <v>0</v>
      </c>
      <c r="K38" t="n">
        <v>0</v>
      </c>
      <c r="L38" t="n">
        <v>1</v>
      </c>
      <c r="M38" t="n">
        <v>0</v>
      </c>
      <c r="N38" t="n">
        <v>0</v>
      </c>
      <c r="O38" t="n">
        <v>0</v>
      </c>
      <c r="P38" t="n">
        <v>0</v>
      </c>
      <c r="Q38" t="n">
        <v>1</v>
      </c>
      <c r="R38" t="n">
        <v>0</v>
      </c>
      <c r="S38" t="n">
        <v>1</v>
      </c>
      <c r="T38" t="n">
        <v>1</v>
      </c>
      <c r="U38" s="2" t="inlineStr">
        <is>
          <t>Sommarfibbla</t>
        </is>
      </c>
      <c r="V38">
        <f>HYPERLINK("https://klasma.github.io/Logging_0560/artfynd/A 53616-2024 artfynd.xlsx", "A 53616-2024")</f>
        <v/>
      </c>
      <c r="W38">
        <f>HYPERLINK("https://klasma.github.io/Logging_0560/kartor/A 53616-2024 karta.png", "A 53616-2024")</f>
        <v/>
      </c>
      <c r="Y38">
        <f>HYPERLINK("https://klasma.github.io/Logging_0560/klagomål/A 53616-2024 FSC-klagomål.docx", "A 53616-2024")</f>
        <v/>
      </c>
      <c r="Z38">
        <f>HYPERLINK("https://klasma.github.io/Logging_0560/klagomålsmail/A 53616-2024 FSC-klagomål mail.docx", "A 53616-2024")</f>
        <v/>
      </c>
      <c r="AA38">
        <f>HYPERLINK("https://klasma.github.io/Logging_0560/tillsyn/A 53616-2024 tillsynsbegäran.docx", "A 53616-2024")</f>
        <v/>
      </c>
      <c r="AB38">
        <f>HYPERLINK("https://klasma.github.io/Logging_0560/tillsynsmail/A 53616-2024 tillsynsbegäran mail.docx", "A 53616-2024")</f>
        <v/>
      </c>
    </row>
    <row r="39" ht="15" customHeight="1">
      <c r="A39" t="inlineStr">
        <is>
          <t>A 28407-2026</t>
        </is>
      </c>
      <c r="B39" t="inlineStr">
        <is>
          <t>avverkningsanmälan</t>
        </is>
      </c>
      <c r="C39" t="inlineStr">
        <is>
          <t>Föryngringsavverkning</t>
        </is>
      </c>
      <c r="D39" s="1" t="n">
        <v>46197</v>
      </c>
      <c r="E39" s="1" t="n">
        <v>46216</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s="2" t="inlineStr">
        <is>
          <t>Gullklöver</t>
        </is>
      </c>
      <c r="V39">
        <f>HYPERLINK("https://klasma.github.io/Logging_0560/artfynd/A 28407-2026 artfynd.xlsx", "A 28407-2026")</f>
        <v/>
      </c>
      <c r="W39">
        <f>HYPERLINK("https://klasma.github.io/Logging_0560/kartor/A 28407-2026 karta.png", "A 28407-2026")</f>
        <v/>
      </c>
      <c r="Y39">
        <f>HYPERLINK("https://klasma.github.io/Logging_0560/klagomål/A 28407-2026 FSC-klagomål.docx", "A 28407-2026")</f>
        <v/>
      </c>
      <c r="Z39">
        <f>HYPERLINK("https://klasma.github.io/Logging_0560/klagomålsmail/A 28407-2026 FSC-klagomål mail.docx", "A 28407-2026")</f>
        <v/>
      </c>
      <c r="AA39">
        <f>HYPERLINK("https://klasma.github.io/Logging_0560/tillsyn/A 28407-2026 tillsynsbegäran.docx", "A 28407-2026")</f>
        <v/>
      </c>
      <c r="AB39">
        <f>HYPERLINK("https://klasma.github.io/Logging_0560/tillsynsmail/A 28407-2026 tillsynsbegäran mail.docx", "A 28407-2026")</f>
        <v/>
      </c>
    </row>
    <row r="40" ht="15" customHeight="1">
      <c r="A40" t="inlineStr">
        <is>
          <t>A 57570-2023</t>
        </is>
      </c>
      <c r="B40" t="inlineStr">
        <is>
          <t>avverkningsanmälan</t>
        </is>
      </c>
      <c r="C40" t="inlineStr">
        <is>
          <t>Föryngringsavverkning</t>
        </is>
      </c>
      <c r="D40" s="1" t="n">
        <v>45246</v>
      </c>
      <c r="E40" s="1" t="n">
        <v>46216</v>
      </c>
      <c r="F40" t="inlineStr">
        <is>
          <t>ÖSTERGÖTLANDS LÄN</t>
        </is>
      </c>
      <c r="G40" t="inlineStr">
        <is>
          <t>BOXHOLM</t>
        </is>
      </c>
      <c r="H40" t="inlineStr">
        <is>
          <t>Övriga Aktiebolag</t>
        </is>
      </c>
      <c r="I40" t="n">
        <v>1.5</v>
      </c>
      <c r="J40" t="n">
        <v>1</v>
      </c>
      <c r="K40" t="n">
        <v>0</v>
      </c>
      <c r="L40" t="n">
        <v>1</v>
      </c>
      <c r="M40" t="n">
        <v>0</v>
      </c>
      <c r="N40" t="n">
        <v>0</v>
      </c>
      <c r="O40" t="n">
        <v>0</v>
      </c>
      <c r="P40" t="n">
        <v>0</v>
      </c>
      <c r="Q40" t="n">
        <v>1</v>
      </c>
      <c r="R40" t="n">
        <v>0</v>
      </c>
      <c r="S40" t="n">
        <v>1</v>
      </c>
      <c r="T40" t="n">
        <v>1</v>
      </c>
      <c r="U40" s="2" t="inlineStr">
        <is>
          <t>Nötkråka</t>
        </is>
      </c>
      <c r="V40">
        <f>HYPERLINK("https://klasma.github.io/Logging_0560/artfynd/A 57570-2023 artfynd.xlsx", "A 57570-2023")</f>
        <v/>
      </c>
      <c r="W40">
        <f>HYPERLINK("https://klasma.github.io/Logging_0560/kartor/A 57570-2023 karta.png", "A 57570-2023")</f>
        <v/>
      </c>
      <c r="Y40">
        <f>HYPERLINK("https://klasma.github.io/Logging_0560/klagomål/A 57570-2023 FSC-klagomål.docx", "A 57570-2023")</f>
        <v/>
      </c>
      <c r="Z40">
        <f>HYPERLINK("https://klasma.github.io/Logging_0560/klagomålsmail/A 57570-2023 FSC-klagomål mail.docx", "A 57570-2023")</f>
        <v/>
      </c>
      <c r="AA40">
        <f>HYPERLINK("https://klasma.github.io/Logging_0560/tillsyn/A 57570-2023 tillsynsbegäran.docx", "A 57570-2023")</f>
        <v/>
      </c>
      <c r="AB40">
        <f>HYPERLINK("https://klasma.github.io/Logging_0560/tillsynsmail/A 57570-2023 tillsynsbegäran mail.docx", "A 57570-2023")</f>
        <v/>
      </c>
      <c r="AC40">
        <f>HYPERLINK("https://klasma.github.io/Logging_0560/fåglar/A 57570-2023 prioriterade fågelarter.docx", "A 57570-2023")</f>
        <v/>
      </c>
    </row>
    <row r="41" ht="15" customHeight="1">
      <c r="A41" t="inlineStr">
        <is>
          <t>A 19560-2024</t>
        </is>
      </c>
      <c r="B41" t="inlineStr">
        <is>
          <t>avverkningsanmälan</t>
        </is>
      </c>
      <c r="C41" t="inlineStr">
        <is>
          <t>Föryngringsavverkning</t>
        </is>
      </c>
      <c r="D41" s="1" t="n">
        <v>45429</v>
      </c>
      <c r="E41" s="1" t="n">
        <v>46216</v>
      </c>
      <c r="F41" t="inlineStr">
        <is>
          <t>ÖSTERGÖTLANDS LÄN</t>
        </is>
      </c>
      <c r="G41" t="inlineStr">
        <is>
          <t>BOXHOLM</t>
        </is>
      </c>
      <c r="I41" t="n">
        <v>3.8</v>
      </c>
      <c r="J41" t="n">
        <v>0</v>
      </c>
      <c r="K41" t="n">
        <v>0</v>
      </c>
      <c r="L41" t="n">
        <v>1</v>
      </c>
      <c r="M41" t="n">
        <v>0</v>
      </c>
      <c r="N41" t="n">
        <v>0</v>
      </c>
      <c r="O41" t="n">
        <v>0</v>
      </c>
      <c r="P41" t="n">
        <v>0</v>
      </c>
      <c r="Q41" t="n">
        <v>1</v>
      </c>
      <c r="R41" t="n">
        <v>0</v>
      </c>
      <c r="S41" t="n">
        <v>1</v>
      </c>
      <c r="T41" t="n">
        <v>1</v>
      </c>
      <c r="U41" s="2" t="inlineStr">
        <is>
          <t>Gullklöver</t>
        </is>
      </c>
      <c r="V41">
        <f>HYPERLINK("https://klasma.github.io/Logging_0560/artfynd/A 19560-2024 artfynd.xlsx", "A 19560-2024")</f>
        <v/>
      </c>
      <c r="W41">
        <f>HYPERLINK("https://klasma.github.io/Logging_0560/kartor/A 19560-2024 karta.png", "A 19560-2024")</f>
        <v/>
      </c>
      <c r="Y41">
        <f>HYPERLINK("https://klasma.github.io/Logging_0560/klagomål/A 19560-2024 FSC-klagomål.docx", "A 19560-2024")</f>
        <v/>
      </c>
      <c r="Z41">
        <f>HYPERLINK("https://klasma.github.io/Logging_0560/klagomålsmail/A 19560-2024 FSC-klagomål mail.docx", "A 19560-2024")</f>
        <v/>
      </c>
      <c r="AA41">
        <f>HYPERLINK("https://klasma.github.io/Logging_0560/tillsyn/A 19560-2024 tillsynsbegäran.docx", "A 19560-2024")</f>
        <v/>
      </c>
      <c r="AB41">
        <f>HYPERLINK("https://klasma.github.io/Logging_0560/tillsynsmail/A 19560-2024 tillsynsbegäran mail.docx", "A 19560-2024")</f>
        <v/>
      </c>
    </row>
    <row r="42" ht="15" customHeight="1">
      <c r="A42" t="inlineStr">
        <is>
          <t>A 31675-2023</t>
        </is>
      </c>
      <c r="B42" t="inlineStr">
        <is>
          <t>avverkningsanmälan</t>
        </is>
      </c>
      <c r="C42" t="inlineStr">
        <is>
          <t>Avverkning för annat ändamål</t>
        </is>
      </c>
      <c r="D42" s="1" t="n">
        <v>45117</v>
      </c>
      <c r="E42" s="1" t="n">
        <v>46216</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s="2" t="inlineStr">
        <is>
          <t>Backklöver</t>
        </is>
      </c>
      <c r="V42">
        <f>HYPERLINK("https://klasma.github.io/Logging_0560/artfynd/A 31675-2023 artfynd.xlsx", "A 31675-2023")</f>
        <v/>
      </c>
      <c r="W42">
        <f>HYPERLINK("https://klasma.github.io/Logging_0560/kartor/A 31675-2023 karta.png", "A 31675-2023")</f>
        <v/>
      </c>
      <c r="Y42">
        <f>HYPERLINK("https://klasma.github.io/Logging_0560/klagomål/A 31675-2023 FSC-klagomål.docx", "A 31675-2023")</f>
        <v/>
      </c>
      <c r="Z42">
        <f>HYPERLINK("https://klasma.github.io/Logging_0560/klagomålsmail/A 31675-2023 FSC-klagomål mail.docx", "A 31675-2023")</f>
        <v/>
      </c>
      <c r="AA42">
        <f>HYPERLINK("https://klasma.github.io/Logging_0560/tillsyn/A 31675-2023 tillsynsbegäran.docx", "A 31675-2023")</f>
        <v/>
      </c>
      <c r="AB42">
        <f>HYPERLINK("https://klasma.github.io/Logging_0560/tillsynsmail/A 31675-2023 tillsynsbegäran mail.docx", "A 31675-2023")</f>
        <v/>
      </c>
    </row>
    <row r="43" ht="15" customHeight="1">
      <c r="A43" t="inlineStr">
        <is>
          <t>S 486-2025</t>
        </is>
      </c>
      <c r="B43" t="inlineStr">
        <is>
          <t>samrådsanmälan</t>
        </is>
      </c>
      <c r="C43" t="inlineStr">
        <is>
          <t>Askåterföring</t>
        </is>
      </c>
      <c r="D43" s="1" t="n">
        <v>45705</v>
      </c>
      <c r="E43" s="1" t="n">
        <v>46216</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46216</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46216</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46216</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46216</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46216</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46216</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46216</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46216</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46216</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46216</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46216</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46216</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46216</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46216</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46216</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46216</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46216</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46216</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46216</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46216</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46216</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46216</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46216</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46216</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1925-2022</t>
        </is>
      </c>
      <c r="B68" t="inlineStr">
        <is>
          <t>avverkningsanmälan</t>
        </is>
      </c>
      <c r="C68" t="inlineStr">
        <is>
          <t>Föryngringsavverkning</t>
        </is>
      </c>
      <c r="D68" s="1" t="n">
        <v>44575</v>
      </c>
      <c r="E68" s="1" t="n">
        <v>46216</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42696-2022</t>
        </is>
      </c>
      <c r="B69" t="inlineStr">
        <is>
          <t>avverkningsanmälan</t>
        </is>
      </c>
      <c r="C69" t="inlineStr">
        <is>
          <t>Föryngringsavverkning</t>
        </is>
      </c>
      <c r="D69" s="1" t="n">
        <v>44832</v>
      </c>
      <c r="E69" s="1" t="n">
        <v>46216</v>
      </c>
      <c r="F69" t="inlineStr">
        <is>
          <t>ÖSTERGÖTLANDS LÄN</t>
        </is>
      </c>
      <c r="G69" t="inlineStr">
        <is>
          <t>BOXHOLM</t>
        </is>
      </c>
      <c r="H69" t="inlineStr">
        <is>
          <t>Övriga Aktiebolag</t>
        </is>
      </c>
      <c r="I69" t="n">
        <v>0.8</v>
      </c>
      <c r="J69" t="n">
        <v>0</v>
      </c>
      <c r="K69" t="n">
        <v>0</v>
      </c>
      <c r="L69" t="n">
        <v>0</v>
      </c>
      <c r="M69" t="n">
        <v>0</v>
      </c>
      <c r="N69" t="n">
        <v>0</v>
      </c>
      <c r="O69" t="n">
        <v>0</v>
      </c>
      <c r="P69" t="n">
        <v>0</v>
      </c>
      <c r="Q69" t="n">
        <v>0</v>
      </c>
      <c r="R69" t="n">
        <v>0</v>
      </c>
      <c r="S69" t="n">
        <v>0</v>
      </c>
      <c r="T69" t="n">
        <v>0</v>
      </c>
      <c r="U69" s="2" t="inlineStr"/>
    </row>
    <row r="70" ht="15" customHeight="1">
      <c r="A70" t="inlineStr">
        <is>
          <t>A 67362-2021</t>
        </is>
      </c>
      <c r="B70" t="inlineStr">
        <is>
          <t>avverkningsanmälan</t>
        </is>
      </c>
      <c r="C70" t="inlineStr">
        <is>
          <t>Föryngringsavverkning</t>
        </is>
      </c>
      <c r="D70" s="1" t="n">
        <v>44523</v>
      </c>
      <c r="E70" s="1" t="n">
        <v>46216</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s="2" t="inlineStr"/>
    </row>
    <row r="71" ht="15" customHeight="1">
      <c r="A71" t="inlineStr">
        <is>
          <t>A 51509-2021</t>
        </is>
      </c>
      <c r="B71" t="inlineStr">
        <is>
          <t>avverkningsanmälan</t>
        </is>
      </c>
      <c r="C71" t="inlineStr">
        <is>
          <t>Föryngringsavverkning</t>
        </is>
      </c>
      <c r="D71" s="1" t="n">
        <v>44460</v>
      </c>
      <c r="E71" s="1" t="n">
        <v>46216</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46216</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28309-2022</t>
        </is>
      </c>
      <c r="B73" t="inlineStr">
        <is>
          <t>avverkningsanmälan</t>
        </is>
      </c>
      <c r="C73" t="inlineStr">
        <is>
          <t>Föryngringsavverkning</t>
        </is>
      </c>
      <c r="D73" s="1" t="n">
        <v>44747</v>
      </c>
      <c r="E73" s="1" t="n">
        <v>46216</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s="2" t="inlineStr"/>
    </row>
    <row r="74" ht="15" customHeight="1">
      <c r="A74" t="inlineStr">
        <is>
          <t>A 36281-2022</t>
        </is>
      </c>
      <c r="B74" t="inlineStr">
        <is>
          <t>avverkningsanmälan</t>
        </is>
      </c>
      <c r="C74" t="inlineStr">
        <is>
          <t>Föryngringsavverkning</t>
        </is>
      </c>
      <c r="D74" s="1" t="n">
        <v>44803</v>
      </c>
      <c r="E74" s="1" t="n">
        <v>46216</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45877-2022</t>
        </is>
      </c>
      <c r="B75" t="inlineStr">
        <is>
          <t>avverkningsanmälan</t>
        </is>
      </c>
      <c r="C75" t="inlineStr">
        <is>
          <t>Föryngringsavverkning</t>
        </is>
      </c>
      <c r="D75" s="1" t="n">
        <v>44846</v>
      </c>
      <c r="E75" s="1" t="n">
        <v>46216</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s="2" t="inlineStr"/>
    </row>
    <row r="76" ht="15" customHeight="1">
      <c r="A76" t="inlineStr">
        <is>
          <t>A 50463-2022</t>
        </is>
      </c>
      <c r="B76" t="inlineStr">
        <is>
          <t>avverkningsanmälan</t>
        </is>
      </c>
      <c r="C76" t="inlineStr">
        <is>
          <t>Föryngringsavverkning</t>
        </is>
      </c>
      <c r="D76" s="1" t="n">
        <v>44866</v>
      </c>
      <c r="E76" s="1" t="n">
        <v>46216</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46216</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47145-2022</t>
        </is>
      </c>
      <c r="B78" t="inlineStr">
        <is>
          <t>avverkningsanmälan</t>
        </is>
      </c>
      <c r="C78" t="inlineStr">
        <is>
          <t>Föryngringsavverkning</t>
        </is>
      </c>
      <c r="D78" s="1" t="n">
        <v>44852</v>
      </c>
      <c r="E78" s="1" t="n">
        <v>46216</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s="2" t="inlineStr"/>
    </row>
    <row r="79" ht="15" customHeight="1">
      <c r="A79" t="inlineStr">
        <is>
          <t>A 72287-2021</t>
        </is>
      </c>
      <c r="B79" t="inlineStr">
        <is>
          <t>avverkningsanmälan</t>
        </is>
      </c>
      <c r="C79" t="inlineStr">
        <is>
          <t>Föryngringsavverkning</t>
        </is>
      </c>
      <c r="D79" s="1" t="n">
        <v>44545</v>
      </c>
      <c r="E79" s="1" t="n">
        <v>46216</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s="2" t="inlineStr"/>
    </row>
    <row r="80" ht="15" customHeight="1">
      <c r="A80" t="inlineStr">
        <is>
          <t>A 48475-2024</t>
        </is>
      </c>
      <c r="B80" t="inlineStr">
        <is>
          <t>avverkningsanmälan</t>
        </is>
      </c>
      <c r="C80" t="inlineStr">
        <is>
          <t>Föryngringsavverkning</t>
        </is>
      </c>
      <c r="D80" s="1" t="n">
        <v>45591</v>
      </c>
      <c r="E80" s="1" t="n">
        <v>46216</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s="2" t="inlineStr"/>
    </row>
    <row r="81" ht="15" customHeight="1">
      <c r="A81" t="inlineStr">
        <is>
          <t>A 24508-2024</t>
        </is>
      </c>
      <c r="B81" t="inlineStr">
        <is>
          <t>avverkningsanmälan</t>
        </is>
      </c>
      <c r="C81" t="inlineStr">
        <is>
          <t>Föryngringsavverkning</t>
        </is>
      </c>
      <c r="D81" s="1" t="n">
        <v>45460</v>
      </c>
      <c r="E81" s="1" t="n">
        <v>46216</v>
      </c>
      <c r="F81" t="inlineStr">
        <is>
          <t>ÖSTERGÖTLANDS LÄN</t>
        </is>
      </c>
      <c r="G81" t="inlineStr">
        <is>
          <t>BOXHOLM</t>
        </is>
      </c>
      <c r="I81" t="n">
        <v>0.4</v>
      </c>
      <c r="J81" t="n">
        <v>0</v>
      </c>
      <c r="K81" t="n">
        <v>0</v>
      </c>
      <c r="L81" t="n">
        <v>0</v>
      </c>
      <c r="M81" t="n">
        <v>0</v>
      </c>
      <c r="N81" t="n">
        <v>0</v>
      </c>
      <c r="O81" t="n">
        <v>0</v>
      </c>
      <c r="P81" t="n">
        <v>0</v>
      </c>
      <c r="Q81" t="n">
        <v>0</v>
      </c>
      <c r="R81" t="n">
        <v>0</v>
      </c>
      <c r="S81" t="n">
        <v>0</v>
      </c>
      <c r="T81" t="n">
        <v>0</v>
      </c>
      <c r="U81" s="2" t="inlineStr"/>
    </row>
    <row r="82" ht="15" customHeight="1">
      <c r="A82" t="inlineStr">
        <is>
          <t>A 24859-2022</t>
        </is>
      </c>
      <c r="B82" t="inlineStr">
        <is>
          <t>avverkningsanmälan</t>
        </is>
      </c>
      <c r="C82" t="inlineStr">
        <is>
          <t>Föryngringsavverkning</t>
        </is>
      </c>
      <c r="D82" s="1" t="n">
        <v>44728</v>
      </c>
      <c r="E82" s="1" t="n">
        <v>46216</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s="2" t="inlineStr"/>
    </row>
    <row r="83" ht="15" customHeight="1">
      <c r="A83" t="inlineStr">
        <is>
          <t>A 22046-2022</t>
        </is>
      </c>
      <c r="B83" t="inlineStr">
        <is>
          <t>avverkningsanmälan</t>
        </is>
      </c>
      <c r="C83" t="inlineStr">
        <is>
          <t>Föryngringsavverkning</t>
        </is>
      </c>
      <c r="D83" s="1" t="n">
        <v>44711</v>
      </c>
      <c r="E83" s="1" t="n">
        <v>46216</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s="2" t="inlineStr"/>
    </row>
    <row r="84" ht="15" customHeight="1">
      <c r="A84" t="inlineStr">
        <is>
          <t>A 17679-2025</t>
        </is>
      </c>
      <c r="B84" t="inlineStr">
        <is>
          <t>avverkningsanmälan</t>
        </is>
      </c>
      <c r="C84" t="inlineStr">
        <is>
          <t>Avverkning för att bevara och utveckla /försöksver</t>
        </is>
      </c>
      <c r="D84" s="1" t="n">
        <v>45758</v>
      </c>
      <c r="E84" s="1" t="n">
        <v>46216</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s="2" t="inlineStr"/>
    </row>
    <row r="85" ht="15" customHeight="1">
      <c r="A85" t="inlineStr">
        <is>
          <t>A 931-2024</t>
        </is>
      </c>
      <c r="B85" t="inlineStr">
        <is>
          <t>avverkningsanmälan</t>
        </is>
      </c>
      <c r="C85" t="inlineStr">
        <is>
          <t>Föryngringsavverkning</t>
        </is>
      </c>
      <c r="D85" s="1" t="n">
        <v>45301</v>
      </c>
      <c r="E85" s="1" t="n">
        <v>46216</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s="2" t="inlineStr"/>
    </row>
    <row r="86" ht="15" customHeight="1">
      <c r="A86" t="inlineStr">
        <is>
          <t>A 74111-2021</t>
        </is>
      </c>
      <c r="B86" t="inlineStr">
        <is>
          <t>avverkningsanmälan</t>
        </is>
      </c>
      <c r="C86" t="inlineStr">
        <is>
          <t>Föryngringsavverkning</t>
        </is>
      </c>
      <c r="D86" s="1" t="n">
        <v>44557</v>
      </c>
      <c r="E86" s="1" t="n">
        <v>46216</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s="2" t="inlineStr"/>
    </row>
    <row r="87" ht="15" customHeight="1">
      <c r="A87" t="inlineStr">
        <is>
          <t>A 14946-2022</t>
        </is>
      </c>
      <c r="B87" t="inlineStr">
        <is>
          <t>avverkningsanmälan</t>
        </is>
      </c>
      <c r="C87" t="inlineStr">
        <is>
          <t>Föryngringsavverkning</t>
        </is>
      </c>
      <c r="D87" s="1" t="n">
        <v>44657</v>
      </c>
      <c r="E87" s="1" t="n">
        <v>46216</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s="2" t="inlineStr"/>
    </row>
    <row r="88" ht="15" customHeight="1">
      <c r="A88" t="inlineStr">
        <is>
          <t>A 47978-2023</t>
        </is>
      </c>
      <c r="B88" t="inlineStr">
        <is>
          <t>avverkningsanmälan</t>
        </is>
      </c>
      <c r="C88" t="inlineStr">
        <is>
          <t>Föryngringsavverkning</t>
        </is>
      </c>
      <c r="D88" s="1" t="n">
        <v>45204</v>
      </c>
      <c r="E88" s="1" t="n">
        <v>46216</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s="2" t="inlineStr"/>
    </row>
    <row r="89" ht="15" customHeight="1">
      <c r="A89" t="inlineStr">
        <is>
          <t>A 72283-2021</t>
        </is>
      </c>
      <c r="B89" t="inlineStr">
        <is>
          <t>avverkningsanmälan</t>
        </is>
      </c>
      <c r="C89" t="inlineStr">
        <is>
          <t>Föryngringsavverkning</t>
        </is>
      </c>
      <c r="D89" s="1" t="n">
        <v>44545</v>
      </c>
      <c r="E89" s="1" t="n">
        <v>46216</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s="2" t="inlineStr"/>
    </row>
    <row r="90" ht="15" customHeight="1">
      <c r="A90" t="inlineStr">
        <is>
          <t>A 15516-2025</t>
        </is>
      </c>
      <c r="B90" t="inlineStr">
        <is>
          <t>avverkningsanmälan</t>
        </is>
      </c>
      <c r="C90" t="inlineStr">
        <is>
          <t>Föryngringsavverkning</t>
        </is>
      </c>
      <c r="D90" s="1" t="n">
        <v>45747</v>
      </c>
      <c r="E90" s="1" t="n">
        <v>46216</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s="2" t="inlineStr"/>
    </row>
    <row r="91" ht="15" customHeight="1">
      <c r="A91" t="inlineStr">
        <is>
          <t>A 933-2024</t>
        </is>
      </c>
      <c r="B91" t="inlineStr">
        <is>
          <t>avverkningsanmälan</t>
        </is>
      </c>
      <c r="C91" t="inlineStr">
        <is>
          <t>Föryngringsavverkning</t>
        </is>
      </c>
      <c r="D91" s="1" t="n">
        <v>45301</v>
      </c>
      <c r="E91" s="1" t="n">
        <v>46216</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s="2" t="inlineStr"/>
    </row>
    <row r="92" ht="15" customHeight="1">
      <c r="A92" t="inlineStr">
        <is>
          <t>A 960-2024</t>
        </is>
      </c>
      <c r="B92" t="inlineStr">
        <is>
          <t>avverkningsanmälan</t>
        </is>
      </c>
      <c r="C92" t="inlineStr">
        <is>
          <t>Föryngringsavverkning</t>
        </is>
      </c>
      <c r="D92" s="1" t="n">
        <v>45301</v>
      </c>
      <c r="E92" s="1" t="n">
        <v>46216</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s="2" t="inlineStr"/>
    </row>
    <row r="93" ht="15" customHeight="1">
      <c r="A93" t="inlineStr">
        <is>
          <t>A 21634-2023</t>
        </is>
      </c>
      <c r="B93" t="inlineStr">
        <is>
          <t>avverkningsanmälan</t>
        </is>
      </c>
      <c r="C93" t="inlineStr">
        <is>
          <t>Föryngringsavverkning</t>
        </is>
      </c>
      <c r="D93" s="1" t="n">
        <v>45062</v>
      </c>
      <c r="E93" s="1" t="n">
        <v>46216</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s="2" t="inlineStr"/>
    </row>
    <row r="94" ht="15" customHeight="1">
      <c r="A94" t="inlineStr">
        <is>
          <t>A 4415-2024</t>
        </is>
      </c>
      <c r="B94" t="inlineStr">
        <is>
          <t>avverkningsanmälan</t>
        </is>
      </c>
      <c r="C94" t="inlineStr">
        <is>
          <t>Föryngringsavverkning</t>
        </is>
      </c>
      <c r="D94" s="1" t="n">
        <v>45327</v>
      </c>
      <c r="E94" s="1" t="n">
        <v>46216</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s="2" t="inlineStr"/>
    </row>
    <row r="95" ht="15" customHeight="1">
      <c r="A95" t="inlineStr">
        <is>
          <t>A 39031-2023</t>
        </is>
      </c>
      <c r="B95" t="inlineStr">
        <is>
          <t>avverkningsanmälan</t>
        </is>
      </c>
      <c r="C95" t="inlineStr">
        <is>
          <t>Föryngringsavverkning</t>
        </is>
      </c>
      <c r="D95" s="1" t="n">
        <v>45163</v>
      </c>
      <c r="E95" s="1" t="n">
        <v>46216</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s="2" t="inlineStr"/>
    </row>
    <row r="96" ht="15" customHeight="1">
      <c r="A96" t="inlineStr">
        <is>
          <t>A 1539-2025</t>
        </is>
      </c>
      <c r="B96" t="inlineStr">
        <is>
          <t>avverkningsanmälan</t>
        </is>
      </c>
      <c r="C96" t="inlineStr">
        <is>
          <t>Föryngringsavverkning</t>
        </is>
      </c>
      <c r="D96" s="1" t="n">
        <v>45670</v>
      </c>
      <c r="E96" s="1" t="n">
        <v>46216</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s="2" t="inlineStr"/>
    </row>
    <row r="97" ht="15" customHeight="1">
      <c r="A97" t="inlineStr">
        <is>
          <t>A 8771-2022</t>
        </is>
      </c>
      <c r="B97" t="inlineStr">
        <is>
          <t>avverkningsanmälan</t>
        </is>
      </c>
      <c r="C97" t="inlineStr">
        <is>
          <t>Föryngringsavverkning</t>
        </is>
      </c>
      <c r="D97" s="1" t="n">
        <v>44614</v>
      </c>
      <c r="E97" s="1" t="n">
        <v>46216</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s="2" t="inlineStr"/>
    </row>
    <row r="98" ht="15" customHeight="1">
      <c r="A98" t="inlineStr">
        <is>
          <t>A 38107-2021</t>
        </is>
      </c>
      <c r="B98" t="inlineStr">
        <is>
          <t>avverkningsanmälan</t>
        </is>
      </c>
      <c r="C98" t="inlineStr">
        <is>
          <t>Avverkning för annat ändamål</t>
        </is>
      </c>
      <c r="D98" s="1" t="n">
        <v>44405</v>
      </c>
      <c r="E98" s="1" t="n">
        <v>46216</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s="2" t="inlineStr"/>
    </row>
    <row r="99" ht="15" customHeight="1">
      <c r="A99" t="inlineStr">
        <is>
          <t>A 46588-2021</t>
        </is>
      </c>
      <c r="B99" t="inlineStr">
        <is>
          <t>avverkningsanmälan</t>
        </is>
      </c>
      <c r="C99" t="inlineStr">
        <is>
          <t>Föryngringsavverkning</t>
        </is>
      </c>
      <c r="D99" s="1" t="n">
        <v>44445</v>
      </c>
      <c r="E99" s="1" t="n">
        <v>46216</v>
      </c>
      <c r="F99" t="inlineStr">
        <is>
          <t>ÖSTERGÖTLANDS LÄN</t>
        </is>
      </c>
      <c r="G99" t="inlineStr">
        <is>
          <t>BOXHOLM</t>
        </is>
      </c>
      <c r="I99" t="n">
        <v>3.5</v>
      </c>
      <c r="J99" t="n">
        <v>0</v>
      </c>
      <c r="K99" t="n">
        <v>0</v>
      </c>
      <c r="L99" t="n">
        <v>0</v>
      </c>
      <c r="M99" t="n">
        <v>0</v>
      </c>
      <c r="N99" t="n">
        <v>0</v>
      </c>
      <c r="O99" t="n">
        <v>0</v>
      </c>
      <c r="P99" t="n">
        <v>0</v>
      </c>
      <c r="Q99" t="n">
        <v>0</v>
      </c>
      <c r="R99" t="n">
        <v>0</v>
      </c>
      <c r="S99" t="n">
        <v>0</v>
      </c>
      <c r="T99" t="n">
        <v>0</v>
      </c>
      <c r="U99" s="2" t="inlineStr"/>
    </row>
    <row r="100" ht="15" customHeight="1">
      <c r="A100" t="inlineStr">
        <is>
          <t>A 5824-2024</t>
        </is>
      </c>
      <c r="B100" t="inlineStr">
        <is>
          <t>avverkningsanmälan</t>
        </is>
      </c>
      <c r="C100" t="inlineStr">
        <is>
          <t>Föryngringsavverkning</t>
        </is>
      </c>
      <c r="D100" s="1" t="n">
        <v>45335</v>
      </c>
      <c r="E100" s="1" t="n">
        <v>46216</v>
      </c>
      <c r="F100" t="inlineStr">
        <is>
          <t>ÖSTERGÖTLANDS LÄN</t>
        </is>
      </c>
      <c r="G100" t="inlineStr">
        <is>
          <t>BOXHOLM</t>
        </is>
      </c>
      <c r="H100" t="inlineStr">
        <is>
          <t>Allmännings- och besparingsskogar</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12203-2025</t>
        </is>
      </c>
      <c r="B101" t="inlineStr">
        <is>
          <t>avverkningsanmälan</t>
        </is>
      </c>
      <c r="C101" t="inlineStr">
        <is>
          <t>Föryngringsavverkning</t>
        </is>
      </c>
      <c r="D101" s="1" t="n">
        <v>45729</v>
      </c>
      <c r="E101" s="1" t="n">
        <v>46216</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25937-2024</t>
        </is>
      </c>
      <c r="B102" t="inlineStr">
        <is>
          <t>avverkningsanmälan</t>
        </is>
      </c>
      <c r="C102" t="inlineStr">
        <is>
          <t>Föryngringsavverkning</t>
        </is>
      </c>
      <c r="D102" s="1" t="n">
        <v>45467</v>
      </c>
      <c r="E102" s="1" t="n">
        <v>46216</v>
      </c>
      <c r="F102" t="inlineStr">
        <is>
          <t>ÖSTERGÖTLANDS LÄN</t>
        </is>
      </c>
      <c r="G102" t="inlineStr">
        <is>
          <t>BOXHOLM</t>
        </is>
      </c>
      <c r="I102" t="n">
        <v>10</v>
      </c>
      <c r="J102" t="n">
        <v>0</v>
      </c>
      <c r="K102" t="n">
        <v>0</v>
      </c>
      <c r="L102" t="n">
        <v>0</v>
      </c>
      <c r="M102" t="n">
        <v>0</v>
      </c>
      <c r="N102" t="n">
        <v>0</v>
      </c>
      <c r="O102" t="n">
        <v>0</v>
      </c>
      <c r="P102" t="n">
        <v>0</v>
      </c>
      <c r="Q102" t="n">
        <v>0</v>
      </c>
      <c r="R102" t="n">
        <v>0</v>
      </c>
      <c r="S102" t="n">
        <v>0</v>
      </c>
      <c r="T102" t="n">
        <v>0</v>
      </c>
      <c r="U102" s="2" t="inlineStr"/>
    </row>
    <row r="103" ht="15" customHeight="1">
      <c r="A103" t="inlineStr">
        <is>
          <t>A 51757-2023</t>
        </is>
      </c>
      <c r="B103" t="inlineStr">
        <is>
          <t>avverkningsanmälan</t>
        </is>
      </c>
      <c r="C103" t="inlineStr">
        <is>
          <t>Föryngringsavverkning</t>
        </is>
      </c>
      <c r="D103" s="1" t="n">
        <v>45222</v>
      </c>
      <c r="E103" s="1" t="n">
        <v>46216</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55254-2022</t>
        </is>
      </c>
      <c r="B104" t="inlineStr">
        <is>
          <t>avverkningsanmälan</t>
        </is>
      </c>
      <c r="C104" t="inlineStr">
        <is>
          <t>Föryngringsavverkning</t>
        </is>
      </c>
      <c r="D104" s="1" t="n">
        <v>44887</v>
      </c>
      <c r="E104" s="1" t="n">
        <v>46216</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s="2" t="inlineStr"/>
    </row>
    <row r="105" ht="15" customHeight="1">
      <c r="A105" t="inlineStr">
        <is>
          <t>A 1090-2026</t>
        </is>
      </c>
      <c r="B105" t="inlineStr">
        <is>
          <t>avverkningsanmälan</t>
        </is>
      </c>
      <c r="C105" t="inlineStr">
        <is>
          <t>Föryngringsavverkning</t>
        </is>
      </c>
      <c r="D105" s="1" t="n">
        <v>46030</v>
      </c>
      <c r="E105" s="1" t="n">
        <v>46216</v>
      </c>
      <c r="F105" t="inlineStr">
        <is>
          <t>ÖSTERGÖTLANDS LÄN</t>
        </is>
      </c>
      <c r="G105" t="inlineStr">
        <is>
          <t>BOXHOLM</t>
        </is>
      </c>
      <c r="H105" t="inlineStr">
        <is>
          <t>Allmännings- och besparingsskogar</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26643-2025</t>
        </is>
      </c>
      <c r="B106" t="inlineStr">
        <is>
          <t>avverkningsanmälan</t>
        </is>
      </c>
      <c r="C106" t="inlineStr">
        <is>
          <t>Föryngringsavverkning</t>
        </is>
      </c>
      <c r="D106" s="1" t="n">
        <v>45809</v>
      </c>
      <c r="E106" s="1" t="n">
        <v>46216</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44896-2023</t>
        </is>
      </c>
      <c r="B107" t="inlineStr">
        <is>
          <t>avverkningsanmälan</t>
        </is>
      </c>
      <c r="C107" t="inlineStr">
        <is>
          <t>Föryngringsavverkning</t>
        </is>
      </c>
      <c r="D107" s="1" t="n">
        <v>45190</v>
      </c>
      <c r="E107" s="1" t="n">
        <v>46216</v>
      </c>
      <c r="F107" t="inlineStr">
        <is>
          <t>ÖSTERGÖTLANDS LÄN</t>
        </is>
      </c>
      <c r="G107" t="inlineStr">
        <is>
          <t>BOXHOLM</t>
        </is>
      </c>
      <c r="H107" t="inlineStr">
        <is>
          <t>Allmännings- och besparingsskogar</t>
        </is>
      </c>
      <c r="I107" t="n">
        <v>1.3</v>
      </c>
      <c r="J107" t="n">
        <v>0</v>
      </c>
      <c r="K107" t="n">
        <v>0</v>
      </c>
      <c r="L107" t="n">
        <v>0</v>
      </c>
      <c r="M107" t="n">
        <v>0</v>
      </c>
      <c r="N107" t="n">
        <v>0</v>
      </c>
      <c r="O107" t="n">
        <v>0</v>
      </c>
      <c r="P107" t="n">
        <v>0</v>
      </c>
      <c r="Q107" t="n">
        <v>0</v>
      </c>
      <c r="R107" t="n">
        <v>0</v>
      </c>
      <c r="S107" t="n">
        <v>0</v>
      </c>
      <c r="T107" t="n">
        <v>0</v>
      </c>
      <c r="U107" s="2" t="inlineStr"/>
    </row>
    <row r="108" ht="15" customHeight="1">
      <c r="A108" t="inlineStr">
        <is>
          <t>A 40594-2025</t>
        </is>
      </c>
      <c r="B108" t="inlineStr">
        <is>
          <t>avverkningsanmälan</t>
        </is>
      </c>
      <c r="C108" t="inlineStr">
        <is>
          <t>Föryngringsavverkning</t>
        </is>
      </c>
      <c r="D108" s="1" t="n">
        <v>45896</v>
      </c>
      <c r="E108" s="1" t="n">
        <v>46216</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34839-2023</t>
        </is>
      </c>
      <c r="B109" t="inlineStr">
        <is>
          <t>avverkningsanmälan</t>
        </is>
      </c>
      <c r="C109" t="inlineStr">
        <is>
          <t>Föryngringsavverkning</t>
        </is>
      </c>
      <c r="D109" s="1" t="n">
        <v>45141</v>
      </c>
      <c r="E109" s="1" t="n">
        <v>46216</v>
      </c>
      <c r="F109" t="inlineStr">
        <is>
          <t>ÖSTERGÖTLANDS LÄN</t>
        </is>
      </c>
      <c r="G109" t="inlineStr">
        <is>
          <t>BOXHOLM</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40583-2025</t>
        </is>
      </c>
      <c r="B110" t="inlineStr">
        <is>
          <t>avverkningsanmälan</t>
        </is>
      </c>
      <c r="C110" t="inlineStr">
        <is>
          <t>Föryngringsavverkning</t>
        </is>
      </c>
      <c r="D110" s="1" t="n">
        <v>45896</v>
      </c>
      <c r="E110" s="1" t="n">
        <v>46216</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s="2" t="inlineStr"/>
    </row>
    <row r="111" ht="15" customHeight="1">
      <c r="A111" t="inlineStr">
        <is>
          <t>A 15476-2023</t>
        </is>
      </c>
      <c r="B111" t="inlineStr">
        <is>
          <t>avverkningsanmälan</t>
        </is>
      </c>
      <c r="C111" t="inlineStr">
        <is>
          <t>Föryngringsavverkning</t>
        </is>
      </c>
      <c r="D111" s="1" t="n">
        <v>45020</v>
      </c>
      <c r="E111" s="1" t="n">
        <v>46216</v>
      </c>
      <c r="F111" t="inlineStr">
        <is>
          <t>ÖSTERGÖTLANDS LÄN</t>
        </is>
      </c>
      <c r="G111" t="inlineStr">
        <is>
          <t>BOXHOLM</t>
        </is>
      </c>
      <c r="I111" t="n">
        <v>0</v>
      </c>
      <c r="J111" t="n">
        <v>0</v>
      </c>
      <c r="K111" t="n">
        <v>0</v>
      </c>
      <c r="L111" t="n">
        <v>0</v>
      </c>
      <c r="M111" t="n">
        <v>0</v>
      </c>
      <c r="N111" t="n">
        <v>0</v>
      </c>
      <c r="O111" t="n">
        <v>0</v>
      </c>
      <c r="P111" t="n">
        <v>0</v>
      </c>
      <c r="Q111" t="n">
        <v>0</v>
      </c>
      <c r="R111" t="n">
        <v>0</v>
      </c>
      <c r="S111" t="n">
        <v>0</v>
      </c>
      <c r="T111" t="n">
        <v>0</v>
      </c>
      <c r="U111" s="2" t="inlineStr"/>
    </row>
    <row r="112" ht="15" customHeight="1">
      <c r="A112" t="inlineStr">
        <is>
          <t>A 41741-2025</t>
        </is>
      </c>
      <c r="B112" t="inlineStr">
        <is>
          <t>avverkningsanmälan</t>
        </is>
      </c>
      <c r="C112" t="inlineStr">
        <is>
          <t>Avverkning för att bevara och utveckla /försöksver</t>
        </is>
      </c>
      <c r="D112" s="1" t="n">
        <v>45902</v>
      </c>
      <c r="E112" s="1" t="n">
        <v>46216</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2203-2026</t>
        </is>
      </c>
      <c r="B113" t="inlineStr">
        <is>
          <t>avverkningsanmälan</t>
        </is>
      </c>
      <c r="C113" t="inlineStr">
        <is>
          <t>Föryngringsavverkning</t>
        </is>
      </c>
      <c r="D113" s="1" t="n">
        <v>46036</v>
      </c>
      <c r="E113" s="1" t="n">
        <v>46216</v>
      </c>
      <c r="F113" t="inlineStr">
        <is>
          <t>ÖSTERGÖTLANDS LÄN</t>
        </is>
      </c>
      <c r="G113" t="inlineStr">
        <is>
          <t>BOXHOLM</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51763-2023</t>
        </is>
      </c>
      <c r="B114" t="inlineStr">
        <is>
          <t>avverkningsanmälan</t>
        </is>
      </c>
      <c r="C114" t="inlineStr">
        <is>
          <t>Föryngringsavverkning</t>
        </is>
      </c>
      <c r="D114" s="1" t="n">
        <v>45222</v>
      </c>
      <c r="E114" s="1" t="n">
        <v>46216</v>
      </c>
      <c r="F114" t="inlineStr">
        <is>
          <t>ÖSTERGÖTLANDS LÄN</t>
        </is>
      </c>
      <c r="G114" t="inlineStr">
        <is>
          <t>BOXHOLM</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21151-2023</t>
        </is>
      </c>
      <c r="B115" t="inlineStr">
        <is>
          <t>avverkningsanmälan</t>
        </is>
      </c>
      <c r="C115" t="inlineStr">
        <is>
          <t>Föryngringsavverkning</t>
        </is>
      </c>
      <c r="D115" s="1" t="n">
        <v>45062</v>
      </c>
      <c r="E115" s="1" t="n">
        <v>46216</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25230-2023</t>
        </is>
      </c>
      <c r="B116" t="inlineStr">
        <is>
          <t>avverkningsanmälan</t>
        </is>
      </c>
      <c r="C116" t="inlineStr">
        <is>
          <t>Föryngringsavverkning</t>
        </is>
      </c>
      <c r="D116" s="1" t="n">
        <v>45086</v>
      </c>
      <c r="E116" s="1" t="n">
        <v>46216</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43599-2025</t>
        </is>
      </c>
      <c r="B117" t="inlineStr">
        <is>
          <t>avverkningsanmälan</t>
        </is>
      </c>
      <c r="C117" t="inlineStr">
        <is>
          <t>Föryngringsavverkning</t>
        </is>
      </c>
      <c r="D117" s="1" t="n">
        <v>45911</v>
      </c>
      <c r="E117" s="1" t="n">
        <v>46216</v>
      </c>
      <c r="F117" t="inlineStr">
        <is>
          <t>ÖSTERGÖTLANDS LÄN</t>
        </is>
      </c>
      <c r="G117" t="inlineStr">
        <is>
          <t>BOXHOLM</t>
        </is>
      </c>
      <c r="I117" t="n">
        <v>2.5</v>
      </c>
      <c r="J117" t="n">
        <v>0</v>
      </c>
      <c r="K117" t="n">
        <v>0</v>
      </c>
      <c r="L117" t="n">
        <v>0</v>
      </c>
      <c r="M117" t="n">
        <v>0</v>
      </c>
      <c r="N117" t="n">
        <v>0</v>
      </c>
      <c r="O117" t="n">
        <v>0</v>
      </c>
      <c r="P117" t="n">
        <v>0</v>
      </c>
      <c r="Q117" t="n">
        <v>0</v>
      </c>
      <c r="R117" t="n">
        <v>0</v>
      </c>
      <c r="S117" t="n">
        <v>0</v>
      </c>
      <c r="T117" t="n">
        <v>0</v>
      </c>
      <c r="U117" s="2" t="inlineStr"/>
    </row>
    <row r="118" ht="15" customHeight="1">
      <c r="A118" t="inlineStr">
        <is>
          <t>A 10315-2025</t>
        </is>
      </c>
      <c r="B118" t="inlineStr">
        <is>
          <t>avverkningsanmälan</t>
        </is>
      </c>
      <c r="C118" t="inlineStr">
        <is>
          <t>Föryngringsavverkning</t>
        </is>
      </c>
      <c r="D118" s="1" t="n">
        <v>45720</v>
      </c>
      <c r="E118" s="1" t="n">
        <v>46216</v>
      </c>
      <c r="F118" t="inlineStr">
        <is>
          <t>ÖSTERGÖTLANDS LÄN</t>
        </is>
      </c>
      <c r="G118" t="inlineStr">
        <is>
          <t>BOXHOLM</t>
        </is>
      </c>
      <c r="I118" t="n">
        <v>2.7</v>
      </c>
      <c r="J118" t="n">
        <v>0</v>
      </c>
      <c r="K118" t="n">
        <v>0</v>
      </c>
      <c r="L118" t="n">
        <v>0</v>
      </c>
      <c r="M118" t="n">
        <v>0</v>
      </c>
      <c r="N118" t="n">
        <v>0</v>
      </c>
      <c r="O118" t="n">
        <v>0</v>
      </c>
      <c r="P118" t="n">
        <v>0</v>
      </c>
      <c r="Q118" t="n">
        <v>0</v>
      </c>
      <c r="R118" t="n">
        <v>0</v>
      </c>
      <c r="S118" t="n">
        <v>0</v>
      </c>
      <c r="T118" t="n">
        <v>0</v>
      </c>
      <c r="U118" s="2" t="inlineStr"/>
    </row>
    <row r="119" ht="15" customHeight="1">
      <c r="A119" t="inlineStr">
        <is>
          <t>A 35345-2023</t>
        </is>
      </c>
      <c r="B119" t="inlineStr">
        <is>
          <t>avverkningsanmälan</t>
        </is>
      </c>
      <c r="C119" t="inlineStr">
        <is>
          <t>Föryngringsavverkning</t>
        </is>
      </c>
      <c r="D119" s="1" t="n">
        <v>45146</v>
      </c>
      <c r="E119" s="1" t="n">
        <v>46216</v>
      </c>
      <c r="F119" t="inlineStr">
        <is>
          <t>ÖSTERGÖTLANDS LÄN</t>
        </is>
      </c>
      <c r="G119" t="inlineStr">
        <is>
          <t>BOXHOLM</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60797-2023</t>
        </is>
      </c>
      <c r="B120" t="inlineStr">
        <is>
          <t>avverkningsanmälan</t>
        </is>
      </c>
      <c r="C120" t="inlineStr">
        <is>
          <t>Föryngringsavverkning</t>
        </is>
      </c>
      <c r="D120" s="1" t="n">
        <v>45259</v>
      </c>
      <c r="E120" s="1" t="n">
        <v>46216</v>
      </c>
      <c r="F120" t="inlineStr">
        <is>
          <t>ÖSTERGÖTLANDS LÄN</t>
        </is>
      </c>
      <c r="G120" t="inlineStr">
        <is>
          <t>BOXHOLM</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44706-2025</t>
        </is>
      </c>
      <c r="B121" t="inlineStr">
        <is>
          <t>avverkningsanmälan</t>
        </is>
      </c>
      <c r="C121" t="inlineStr">
        <is>
          <t>Föryngringsavverkning</t>
        </is>
      </c>
      <c r="D121" s="1" t="n">
        <v>45917</v>
      </c>
      <c r="E121" s="1" t="n">
        <v>46216</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44696-2025</t>
        </is>
      </c>
      <c r="B122" t="inlineStr">
        <is>
          <t>avverkningsanmälan</t>
        </is>
      </c>
      <c r="C122" t="inlineStr">
        <is>
          <t>Föryngringsavverkning</t>
        </is>
      </c>
      <c r="D122" s="1" t="n">
        <v>45917</v>
      </c>
      <c r="E122" s="1" t="n">
        <v>46216</v>
      </c>
      <c r="F122" t="inlineStr">
        <is>
          <t>ÖSTERGÖTLANDS LÄN</t>
        </is>
      </c>
      <c r="G122" t="inlineStr">
        <is>
          <t>BOXHOLM</t>
        </is>
      </c>
      <c r="H122" t="inlineStr">
        <is>
          <t>Övriga Aktiebolag</t>
        </is>
      </c>
      <c r="I122" t="n">
        <v>1.8</v>
      </c>
      <c r="J122" t="n">
        <v>0</v>
      </c>
      <c r="K122" t="n">
        <v>0</v>
      </c>
      <c r="L122" t="n">
        <v>0</v>
      </c>
      <c r="M122" t="n">
        <v>0</v>
      </c>
      <c r="N122" t="n">
        <v>0</v>
      </c>
      <c r="O122" t="n">
        <v>0</v>
      </c>
      <c r="P122" t="n">
        <v>0</v>
      </c>
      <c r="Q122" t="n">
        <v>0</v>
      </c>
      <c r="R122" t="n">
        <v>0</v>
      </c>
      <c r="S122" t="n">
        <v>0</v>
      </c>
      <c r="T122" t="n">
        <v>0</v>
      </c>
      <c r="U122" s="2" t="inlineStr"/>
    </row>
    <row r="123" ht="15" customHeight="1">
      <c r="A123" t="inlineStr">
        <is>
          <t>A 6239-2025</t>
        </is>
      </c>
      <c r="B123" t="inlineStr">
        <is>
          <t>avverkningsanmälan</t>
        </is>
      </c>
      <c r="C123" t="inlineStr">
        <is>
          <t>Föryngringsavverkning</t>
        </is>
      </c>
      <c r="D123" s="1" t="n">
        <v>45698</v>
      </c>
      <c r="E123" s="1" t="n">
        <v>46216</v>
      </c>
      <c r="F123" t="inlineStr">
        <is>
          <t>ÖSTERGÖTLANDS LÄN</t>
        </is>
      </c>
      <c r="G123" t="inlineStr">
        <is>
          <t>BOXHOLM</t>
        </is>
      </c>
      <c r="H123" t="inlineStr">
        <is>
          <t>Övriga Aktiebolag</t>
        </is>
      </c>
      <c r="I123" t="n">
        <v>3.7</v>
      </c>
      <c r="J123" t="n">
        <v>0</v>
      </c>
      <c r="K123" t="n">
        <v>0</v>
      </c>
      <c r="L123" t="n">
        <v>0</v>
      </c>
      <c r="M123" t="n">
        <v>0</v>
      </c>
      <c r="N123" t="n">
        <v>0</v>
      </c>
      <c r="O123" t="n">
        <v>0</v>
      </c>
      <c r="P123" t="n">
        <v>0</v>
      </c>
      <c r="Q123" t="n">
        <v>0</v>
      </c>
      <c r="R123" t="n">
        <v>0</v>
      </c>
      <c r="S123" t="n">
        <v>0</v>
      </c>
      <c r="T123" t="n">
        <v>0</v>
      </c>
      <c r="U123" s="2" t="inlineStr"/>
    </row>
    <row r="124" ht="15" customHeight="1">
      <c r="A124" t="inlineStr">
        <is>
          <t>A 44758-2025</t>
        </is>
      </c>
      <c r="B124" t="inlineStr">
        <is>
          <t>avverkningsanmälan</t>
        </is>
      </c>
      <c r="C124" t="inlineStr">
        <is>
          <t>Föryngringsavverkning</t>
        </is>
      </c>
      <c r="D124" s="1" t="n">
        <v>45917</v>
      </c>
      <c r="E124" s="1" t="n">
        <v>46216</v>
      </c>
      <c r="F124" t="inlineStr">
        <is>
          <t>ÖSTERGÖTLANDS LÄN</t>
        </is>
      </c>
      <c r="G124" t="inlineStr">
        <is>
          <t>BOXHOLM</t>
        </is>
      </c>
      <c r="I124" t="n">
        <v>5.6</v>
      </c>
      <c r="J124" t="n">
        <v>0</v>
      </c>
      <c r="K124" t="n">
        <v>0</v>
      </c>
      <c r="L124" t="n">
        <v>0</v>
      </c>
      <c r="M124" t="n">
        <v>0</v>
      </c>
      <c r="N124" t="n">
        <v>0</v>
      </c>
      <c r="O124" t="n">
        <v>0</v>
      </c>
      <c r="P124" t="n">
        <v>0</v>
      </c>
      <c r="Q124" t="n">
        <v>0</v>
      </c>
      <c r="R124" t="n">
        <v>0</v>
      </c>
      <c r="S124" t="n">
        <v>0</v>
      </c>
      <c r="T124" t="n">
        <v>0</v>
      </c>
      <c r="U124" s="2" t="inlineStr"/>
    </row>
    <row r="125" ht="15" customHeight="1">
      <c r="A125" t="inlineStr">
        <is>
          <t>A 44658-2025</t>
        </is>
      </c>
      <c r="B125" t="inlineStr">
        <is>
          <t>avverkningsanmälan</t>
        </is>
      </c>
      <c r="C125" t="inlineStr">
        <is>
          <t>Avverkning för att bevara och utveckla /försöksver</t>
        </is>
      </c>
      <c r="D125" s="1" t="n">
        <v>45917</v>
      </c>
      <c r="E125" s="1" t="n">
        <v>46216</v>
      </c>
      <c r="F125" t="inlineStr">
        <is>
          <t>ÖSTERGÖTLANDS LÄN</t>
        </is>
      </c>
      <c r="G125" t="inlineStr">
        <is>
          <t>BOXHOLM</t>
        </is>
      </c>
      <c r="H125" t="inlineStr">
        <is>
          <t>Övriga Aktiebolag</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44703-2025</t>
        </is>
      </c>
      <c r="B126" t="inlineStr">
        <is>
          <t>avverkningsanmälan</t>
        </is>
      </c>
      <c r="C126" t="inlineStr">
        <is>
          <t>Föryngringsavverkning</t>
        </is>
      </c>
      <c r="D126" s="1" t="n">
        <v>45917</v>
      </c>
      <c r="E126" s="1" t="n">
        <v>46216</v>
      </c>
      <c r="F126" t="inlineStr">
        <is>
          <t>ÖSTERGÖTLANDS LÄN</t>
        </is>
      </c>
      <c r="G126" t="inlineStr">
        <is>
          <t>BOXHOLM</t>
        </is>
      </c>
      <c r="H126" t="inlineStr">
        <is>
          <t>Övriga Aktiebolag</t>
        </is>
      </c>
      <c r="I126" t="n">
        <v>3.6</v>
      </c>
      <c r="J126" t="n">
        <v>0</v>
      </c>
      <c r="K126" t="n">
        <v>0</v>
      </c>
      <c r="L126" t="n">
        <v>0</v>
      </c>
      <c r="M126" t="n">
        <v>0</v>
      </c>
      <c r="N126" t="n">
        <v>0</v>
      </c>
      <c r="O126" t="n">
        <v>0</v>
      </c>
      <c r="P126" t="n">
        <v>0</v>
      </c>
      <c r="Q126" t="n">
        <v>0</v>
      </c>
      <c r="R126" t="n">
        <v>0</v>
      </c>
      <c r="S126" t="n">
        <v>0</v>
      </c>
      <c r="T126" t="n">
        <v>0</v>
      </c>
      <c r="U126" s="2" t="inlineStr"/>
    </row>
    <row r="127" ht="15" customHeight="1">
      <c r="A127" t="inlineStr">
        <is>
          <t>A 45266-2025</t>
        </is>
      </c>
      <c r="B127" t="inlineStr">
        <is>
          <t>avverkningsanmälan</t>
        </is>
      </c>
      <c r="C127" t="inlineStr">
        <is>
          <t>Föryngringsavverkning</t>
        </is>
      </c>
      <c r="D127" s="1" t="n">
        <v>45919</v>
      </c>
      <c r="E127" s="1" t="n">
        <v>46216</v>
      </c>
      <c r="F127" t="inlineStr">
        <is>
          <t>ÖSTERGÖTLANDS LÄN</t>
        </is>
      </c>
      <c r="G127" t="inlineStr">
        <is>
          <t>BOXHOLM</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44803-2025</t>
        </is>
      </c>
      <c r="B128" t="inlineStr">
        <is>
          <t>avverkningsanmälan</t>
        </is>
      </c>
      <c r="C128" t="inlineStr">
        <is>
          <t>Föryngringsavverkning</t>
        </is>
      </c>
      <c r="D128" s="1" t="n">
        <v>45918</v>
      </c>
      <c r="E128" s="1" t="n">
        <v>46216</v>
      </c>
      <c r="F128" t="inlineStr">
        <is>
          <t>ÖSTERGÖTLANDS LÄN</t>
        </is>
      </c>
      <c r="G128" t="inlineStr">
        <is>
          <t>BOXHOLM</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51359-2024</t>
        </is>
      </c>
      <c r="B129" t="inlineStr">
        <is>
          <t>avverkningsanmälan</t>
        </is>
      </c>
      <c r="C129" t="inlineStr">
        <is>
          <t>Föryngringsavverkning</t>
        </is>
      </c>
      <c r="D129" s="1" t="n">
        <v>45604</v>
      </c>
      <c r="E129" s="1" t="n">
        <v>46216</v>
      </c>
      <c r="F129" t="inlineStr">
        <is>
          <t>ÖSTERGÖTLANDS LÄN</t>
        </is>
      </c>
      <c r="G129" t="inlineStr">
        <is>
          <t>BOXHOLM</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29612-2025</t>
        </is>
      </c>
      <c r="B130" t="inlineStr">
        <is>
          <t>avverkningsanmälan</t>
        </is>
      </c>
      <c r="C130" t="inlineStr">
        <is>
          <t>Föryngringsavverkning</t>
        </is>
      </c>
      <c r="D130" s="1" t="n">
        <v>45825</v>
      </c>
      <c r="E130" s="1" t="n">
        <v>46216</v>
      </c>
      <c r="F130" t="inlineStr">
        <is>
          <t>ÖSTERGÖTLANDS LÄN</t>
        </is>
      </c>
      <c r="G130" t="inlineStr">
        <is>
          <t>BOXHOLM</t>
        </is>
      </c>
      <c r="H130" t="inlineStr">
        <is>
          <t>Övriga Aktiebolag</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46200-2025</t>
        </is>
      </c>
      <c r="B131" t="inlineStr">
        <is>
          <t>avverkningsanmälan</t>
        </is>
      </c>
      <c r="C131" t="inlineStr">
        <is>
          <t>Föryngringsavverkning</t>
        </is>
      </c>
      <c r="D131" s="1" t="n">
        <v>45924</v>
      </c>
      <c r="E131" s="1" t="n">
        <v>46216</v>
      </c>
      <c r="F131" t="inlineStr">
        <is>
          <t>ÖSTERGÖTLANDS LÄN</t>
        </is>
      </c>
      <c r="G131" t="inlineStr">
        <is>
          <t>BOXHOLM</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23857-2023</t>
        </is>
      </c>
      <c r="B132" t="inlineStr">
        <is>
          <t>avverkningsanmälan</t>
        </is>
      </c>
      <c r="C132" t="inlineStr">
        <is>
          <t>Föryngringsavverkning</t>
        </is>
      </c>
      <c r="D132" s="1" t="n">
        <v>45078</v>
      </c>
      <c r="E132" s="1" t="n">
        <v>46216</v>
      </c>
      <c r="F132" t="inlineStr">
        <is>
          <t>ÖSTERGÖTLANDS LÄN</t>
        </is>
      </c>
      <c r="G132" t="inlineStr">
        <is>
          <t>BOXHOLM</t>
        </is>
      </c>
      <c r="H132" t="inlineStr">
        <is>
          <t>Övriga Aktiebolag</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46199-2025</t>
        </is>
      </c>
      <c r="B133" t="inlineStr">
        <is>
          <t>avverkningsanmälan</t>
        </is>
      </c>
      <c r="C133" t="inlineStr">
        <is>
          <t>Föryngringsavverkning</t>
        </is>
      </c>
      <c r="D133" s="1" t="n">
        <v>45924</v>
      </c>
      <c r="E133" s="1" t="n">
        <v>46216</v>
      </c>
      <c r="F133" t="inlineStr">
        <is>
          <t>ÖSTERGÖTLANDS LÄN</t>
        </is>
      </c>
      <c r="G133" t="inlineStr">
        <is>
          <t>BOXHOLM</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46867-2025</t>
        </is>
      </c>
      <c r="B134" t="inlineStr">
        <is>
          <t>avverkningsanmälan</t>
        </is>
      </c>
      <c r="C134" t="inlineStr">
        <is>
          <t>Föryngringsavverkning</t>
        </is>
      </c>
      <c r="D134" s="1" t="n">
        <v>45929</v>
      </c>
      <c r="E134" s="1" t="n">
        <v>46216</v>
      </c>
      <c r="F134" t="inlineStr">
        <is>
          <t>ÖSTERGÖTLANDS LÄN</t>
        </is>
      </c>
      <c r="G134" t="inlineStr">
        <is>
          <t>BOXHOLM</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35440-2025</t>
        </is>
      </c>
      <c r="B135" t="inlineStr">
        <is>
          <t>avverkningsanmälan</t>
        </is>
      </c>
      <c r="C135" t="inlineStr">
        <is>
          <t>Avverkning för annat ändamål</t>
        </is>
      </c>
      <c r="D135" s="1" t="n">
        <v>45855</v>
      </c>
      <c r="E135" s="1" t="n">
        <v>46216</v>
      </c>
      <c r="F135" t="inlineStr">
        <is>
          <t>ÖSTERGÖTLANDS LÄN</t>
        </is>
      </c>
      <c r="G135" t="inlineStr">
        <is>
          <t>BOXHOLM</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35765-2025</t>
        </is>
      </c>
      <c r="B136" t="inlineStr">
        <is>
          <t>avverkningsanmälan</t>
        </is>
      </c>
      <c r="C136" t="inlineStr">
        <is>
          <t>Föryngringsavverkning</t>
        </is>
      </c>
      <c r="D136" s="1" t="n">
        <v>45860</v>
      </c>
      <c r="E136" s="1" t="n">
        <v>46216</v>
      </c>
      <c r="F136" t="inlineStr">
        <is>
          <t>ÖSTERGÖTLANDS LÄN</t>
        </is>
      </c>
      <c r="G136" t="inlineStr">
        <is>
          <t>BOXHOLM</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25944-2024</t>
        </is>
      </c>
      <c r="B137" t="inlineStr">
        <is>
          <t>avverkningsanmälan</t>
        </is>
      </c>
      <c r="C137" t="inlineStr">
        <is>
          <t>Föryngringsavverkning</t>
        </is>
      </c>
      <c r="D137" s="1" t="n">
        <v>45467</v>
      </c>
      <c r="E137" s="1" t="n">
        <v>46216</v>
      </c>
      <c r="F137" t="inlineStr">
        <is>
          <t>ÖSTERGÖTLANDS LÄN</t>
        </is>
      </c>
      <c r="G137" t="inlineStr">
        <is>
          <t>BOXHOLM</t>
        </is>
      </c>
      <c r="I137" t="n">
        <v>7.1</v>
      </c>
      <c r="J137" t="n">
        <v>0</v>
      </c>
      <c r="K137" t="n">
        <v>0</v>
      </c>
      <c r="L137" t="n">
        <v>0</v>
      </c>
      <c r="M137" t="n">
        <v>0</v>
      </c>
      <c r="N137" t="n">
        <v>0</v>
      </c>
      <c r="O137" t="n">
        <v>0</v>
      </c>
      <c r="P137" t="n">
        <v>0</v>
      </c>
      <c r="Q137" t="n">
        <v>0</v>
      </c>
      <c r="R137" t="n">
        <v>0</v>
      </c>
      <c r="S137" t="n">
        <v>0</v>
      </c>
      <c r="T137" t="n">
        <v>0</v>
      </c>
      <c r="U137" s="2" t="inlineStr"/>
    </row>
    <row r="138" ht="15" customHeight="1">
      <c r="A138" t="inlineStr">
        <is>
          <t>A 46519-2025</t>
        </is>
      </c>
      <c r="B138" t="inlineStr">
        <is>
          <t>avverkningsanmälan</t>
        </is>
      </c>
      <c r="C138" t="inlineStr">
        <is>
          <t>Föryngringsavverkning</t>
        </is>
      </c>
      <c r="D138" s="1" t="n">
        <v>45924</v>
      </c>
      <c r="E138" s="1" t="n">
        <v>46216</v>
      </c>
      <c r="F138" t="inlineStr">
        <is>
          <t>ÖSTERGÖTLANDS LÄN</t>
        </is>
      </c>
      <c r="G138" t="inlineStr">
        <is>
          <t>BOXHOLM</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47446-2025</t>
        </is>
      </c>
      <c r="B139" t="inlineStr">
        <is>
          <t>avverkningsanmälan</t>
        </is>
      </c>
      <c r="C139" t="inlineStr">
        <is>
          <t>Föryngringsavverkning</t>
        </is>
      </c>
      <c r="D139" s="1" t="n">
        <v>45930</v>
      </c>
      <c r="E139" s="1" t="n">
        <v>46216</v>
      </c>
      <c r="F139" t="inlineStr">
        <is>
          <t>ÖSTERGÖTLANDS LÄN</t>
        </is>
      </c>
      <c r="G139" t="inlineStr">
        <is>
          <t>BOXHOLM</t>
        </is>
      </c>
      <c r="H139" t="inlineStr">
        <is>
          <t>Övriga Aktiebolag</t>
        </is>
      </c>
      <c r="I139" t="n">
        <v>4.1</v>
      </c>
      <c r="J139" t="n">
        <v>0</v>
      </c>
      <c r="K139" t="n">
        <v>0</v>
      </c>
      <c r="L139" t="n">
        <v>0</v>
      </c>
      <c r="M139" t="n">
        <v>0</v>
      </c>
      <c r="N139" t="n">
        <v>0</v>
      </c>
      <c r="O139" t="n">
        <v>0</v>
      </c>
      <c r="P139" t="n">
        <v>0</v>
      </c>
      <c r="Q139" t="n">
        <v>0</v>
      </c>
      <c r="R139" t="n">
        <v>0</v>
      </c>
      <c r="S139" t="n">
        <v>0</v>
      </c>
      <c r="T139" t="n">
        <v>0</v>
      </c>
      <c r="U139" s="2" t="inlineStr"/>
    </row>
    <row r="140" ht="15" customHeight="1">
      <c r="A140" t="inlineStr">
        <is>
          <t>A 36177-2025</t>
        </is>
      </c>
      <c r="B140" t="inlineStr">
        <is>
          <t>avverkningsanmälan</t>
        </is>
      </c>
      <c r="C140" t="inlineStr">
        <is>
          <t>Avverkning för att bevara och utveckla /försöksver</t>
        </is>
      </c>
      <c r="D140" s="1" t="n">
        <v>45867</v>
      </c>
      <c r="E140" s="1" t="n">
        <v>46216</v>
      </c>
      <c r="F140" t="inlineStr">
        <is>
          <t>ÖSTERGÖTLANDS LÄN</t>
        </is>
      </c>
      <c r="G140" t="inlineStr">
        <is>
          <t>BOXHOLM</t>
        </is>
      </c>
      <c r="H140" t="inlineStr">
        <is>
          <t>Övriga Aktiebolag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36175-2025</t>
        </is>
      </c>
      <c r="B141" t="inlineStr">
        <is>
          <t>avverkningsanmälan</t>
        </is>
      </c>
      <c r="C141" t="inlineStr">
        <is>
          <t>Föryngringsavverkning</t>
        </is>
      </c>
      <c r="D141" s="1" t="n">
        <v>45867</v>
      </c>
      <c r="E141" s="1" t="n">
        <v>46216</v>
      </c>
      <c r="F141" t="inlineStr">
        <is>
          <t>ÖSTERGÖTLANDS LÄN</t>
        </is>
      </c>
      <c r="G141" t="inlineStr">
        <is>
          <t>BOXHOLM</t>
        </is>
      </c>
      <c r="H141" t="inlineStr">
        <is>
          <t>Övriga Aktiebolag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36202-2025</t>
        </is>
      </c>
      <c r="B142" t="inlineStr">
        <is>
          <t>avverkningsanmälan</t>
        </is>
      </c>
      <c r="C142" t="inlineStr">
        <is>
          <t>Avverkning för att bevara och utveckla /försöksver</t>
        </is>
      </c>
      <c r="D142" s="1" t="n">
        <v>45867</v>
      </c>
      <c r="E142" s="1" t="n">
        <v>46216</v>
      </c>
      <c r="F142" t="inlineStr">
        <is>
          <t>ÖSTERGÖTLANDS LÄN</t>
        </is>
      </c>
      <c r="G142" t="inlineStr">
        <is>
          <t>BOXHOLM</t>
        </is>
      </c>
      <c r="H142" t="inlineStr">
        <is>
          <t>Övriga Aktiebolag</t>
        </is>
      </c>
      <c r="I142" t="n">
        <v>2.7</v>
      </c>
      <c r="J142" t="n">
        <v>0</v>
      </c>
      <c r="K142" t="n">
        <v>0</v>
      </c>
      <c r="L142" t="n">
        <v>0</v>
      </c>
      <c r="M142" t="n">
        <v>0</v>
      </c>
      <c r="N142" t="n">
        <v>0</v>
      </c>
      <c r="O142" t="n">
        <v>0</v>
      </c>
      <c r="P142" t="n">
        <v>0</v>
      </c>
      <c r="Q142" t="n">
        <v>0</v>
      </c>
      <c r="R142" t="n">
        <v>0</v>
      </c>
      <c r="S142" t="n">
        <v>0</v>
      </c>
      <c r="T142" t="n">
        <v>0</v>
      </c>
      <c r="U142" s="2" t="inlineStr"/>
    </row>
    <row r="143" ht="15" customHeight="1">
      <c r="A143" t="inlineStr">
        <is>
          <t>A 36433-2025</t>
        </is>
      </c>
      <c r="B143" t="inlineStr">
        <is>
          <t>avverkningsanmälan</t>
        </is>
      </c>
      <c r="C143" t="inlineStr">
        <is>
          <t>Avverkning för att bevara och utveckla /försöksver</t>
        </is>
      </c>
      <c r="D143" s="1" t="n">
        <v>45869</v>
      </c>
      <c r="E143" s="1" t="n">
        <v>46216</v>
      </c>
      <c r="F143" t="inlineStr">
        <is>
          <t>ÖSTERGÖTLANDS LÄN</t>
        </is>
      </c>
      <c r="G143" t="inlineStr">
        <is>
          <t>BOXHOLM</t>
        </is>
      </c>
      <c r="H143" t="inlineStr">
        <is>
          <t>Övriga Aktiebolag</t>
        </is>
      </c>
      <c r="I143" t="n">
        <v>2.5</v>
      </c>
      <c r="J143" t="n">
        <v>0</v>
      </c>
      <c r="K143" t="n">
        <v>0</v>
      </c>
      <c r="L143" t="n">
        <v>0</v>
      </c>
      <c r="M143" t="n">
        <v>0</v>
      </c>
      <c r="N143" t="n">
        <v>0</v>
      </c>
      <c r="O143" t="n">
        <v>0</v>
      </c>
      <c r="P143" t="n">
        <v>0</v>
      </c>
      <c r="Q143" t="n">
        <v>0</v>
      </c>
      <c r="R143" t="n">
        <v>0</v>
      </c>
      <c r="S143" t="n">
        <v>0</v>
      </c>
      <c r="T143" t="n">
        <v>0</v>
      </c>
      <c r="U143" s="2" t="inlineStr"/>
    </row>
    <row r="144" ht="15" customHeight="1">
      <c r="A144" t="inlineStr">
        <is>
          <t>A 12734-2025</t>
        </is>
      </c>
      <c r="B144" t="inlineStr">
        <is>
          <t>avverkningsanmälan</t>
        </is>
      </c>
      <c r="C144" t="inlineStr">
        <is>
          <t>Föryngringsavverkning</t>
        </is>
      </c>
      <c r="D144" s="1" t="n">
        <v>45733</v>
      </c>
      <c r="E144" s="1" t="n">
        <v>46216</v>
      </c>
      <c r="F144" t="inlineStr">
        <is>
          <t>ÖSTERGÖTLANDS LÄN</t>
        </is>
      </c>
      <c r="G144" t="inlineStr">
        <is>
          <t>BOXHOLM</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39029-2023</t>
        </is>
      </c>
      <c r="B145" t="inlineStr">
        <is>
          <t>avverkningsanmälan</t>
        </is>
      </c>
      <c r="C145" t="inlineStr">
        <is>
          <t>Föryngringsavverkning</t>
        </is>
      </c>
      <c r="D145" s="1" t="n">
        <v>45163</v>
      </c>
      <c r="E145" s="1" t="n">
        <v>46216</v>
      </c>
      <c r="F145" t="inlineStr">
        <is>
          <t>ÖSTERGÖTLANDS LÄN</t>
        </is>
      </c>
      <c r="G145" t="inlineStr">
        <is>
          <t>BOXHOLM</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35762-2025</t>
        </is>
      </c>
      <c r="B146" t="inlineStr">
        <is>
          <t>avverkningsanmälan</t>
        </is>
      </c>
      <c r="C146" t="inlineStr">
        <is>
          <t>Föryngringsavverkning</t>
        </is>
      </c>
      <c r="D146" s="1" t="n">
        <v>45860</v>
      </c>
      <c r="E146" s="1" t="n">
        <v>46216</v>
      </c>
      <c r="F146" t="inlineStr">
        <is>
          <t>ÖSTERGÖTLANDS LÄN</t>
        </is>
      </c>
      <c r="G146" t="inlineStr">
        <is>
          <t>BOXHOLM</t>
        </is>
      </c>
      <c r="I146" t="n">
        <v>4.5</v>
      </c>
      <c r="J146" t="n">
        <v>0</v>
      </c>
      <c r="K146" t="n">
        <v>0</v>
      </c>
      <c r="L146" t="n">
        <v>0</v>
      </c>
      <c r="M146" t="n">
        <v>0</v>
      </c>
      <c r="N146" t="n">
        <v>0</v>
      </c>
      <c r="O146" t="n">
        <v>0</v>
      </c>
      <c r="P146" t="n">
        <v>0</v>
      </c>
      <c r="Q146" t="n">
        <v>0</v>
      </c>
      <c r="R146" t="n">
        <v>0</v>
      </c>
      <c r="S146" t="n">
        <v>0</v>
      </c>
      <c r="T146" t="n">
        <v>0</v>
      </c>
      <c r="U146" s="2" t="inlineStr"/>
    </row>
    <row r="147" ht="15" customHeight="1">
      <c r="A147" t="inlineStr">
        <is>
          <t>A 35764-2025</t>
        </is>
      </c>
      <c r="B147" t="inlineStr">
        <is>
          <t>avverkningsanmälan</t>
        </is>
      </c>
      <c r="C147" t="inlineStr">
        <is>
          <t>Föryngringsavverkning</t>
        </is>
      </c>
      <c r="D147" s="1" t="n">
        <v>45860</v>
      </c>
      <c r="E147" s="1" t="n">
        <v>46216</v>
      </c>
      <c r="F147" t="inlineStr">
        <is>
          <t>ÖSTERGÖTLANDS LÄN</t>
        </is>
      </c>
      <c r="G147" t="inlineStr">
        <is>
          <t>BOXHOLM</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50082-2025</t>
        </is>
      </c>
      <c r="B148" t="inlineStr">
        <is>
          <t>avverkningsanmälan</t>
        </is>
      </c>
      <c r="C148" t="inlineStr">
        <is>
          <t>Avverkning för att bevara och utveckla /försöksver</t>
        </is>
      </c>
      <c r="D148" s="1" t="n">
        <v>45943</v>
      </c>
      <c r="E148" s="1" t="n">
        <v>46216</v>
      </c>
      <c r="F148" t="inlineStr">
        <is>
          <t>ÖSTERGÖTLANDS LÄN</t>
        </is>
      </c>
      <c r="G148" t="inlineStr">
        <is>
          <t>BOXHOLM</t>
        </is>
      </c>
      <c r="H148" t="inlineStr">
        <is>
          <t>Övriga Aktiebolag</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50164-2025</t>
        </is>
      </c>
      <c r="B149" t="inlineStr">
        <is>
          <t>avverkningsanmälan</t>
        </is>
      </c>
      <c r="C149" t="inlineStr">
        <is>
          <t>Föryngringsavverkning</t>
        </is>
      </c>
      <c r="D149" s="1" t="n">
        <v>45943</v>
      </c>
      <c r="E149" s="1" t="n">
        <v>46216</v>
      </c>
      <c r="F149" t="inlineStr">
        <is>
          <t>ÖSTERGÖTLANDS LÄN</t>
        </is>
      </c>
      <c r="G149" t="inlineStr">
        <is>
          <t>BOXHOLM</t>
        </is>
      </c>
      <c r="H149" t="inlineStr">
        <is>
          <t>Övriga Aktiebolag</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50019-2025</t>
        </is>
      </c>
      <c r="B150" t="inlineStr">
        <is>
          <t>avverkningsanmälan</t>
        </is>
      </c>
      <c r="C150" t="inlineStr">
        <is>
          <t>Föryngringsavverkning</t>
        </is>
      </c>
      <c r="D150" s="1" t="n">
        <v>45943</v>
      </c>
      <c r="E150" s="1" t="n">
        <v>46216</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43471-2022</t>
        </is>
      </c>
      <c r="B151" t="inlineStr">
        <is>
          <t>avverkningsanmälan</t>
        </is>
      </c>
      <c r="C151" t="inlineStr">
        <is>
          <t>Föryngringsavverkning</t>
        </is>
      </c>
      <c r="D151" s="1" t="n">
        <v>44836</v>
      </c>
      <c r="E151" s="1" t="n">
        <v>46216</v>
      </c>
      <c r="F151" t="inlineStr">
        <is>
          <t>ÖSTERGÖTLANDS LÄN</t>
        </is>
      </c>
      <c r="G151" t="inlineStr">
        <is>
          <t>BOXHOLM</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50095-2025</t>
        </is>
      </c>
      <c r="B152" t="inlineStr">
        <is>
          <t>avverkningsanmälan</t>
        </is>
      </c>
      <c r="C152" t="inlineStr">
        <is>
          <t>Föryngringsavverkning</t>
        </is>
      </c>
      <c r="D152" s="1" t="n">
        <v>45943</v>
      </c>
      <c r="E152" s="1" t="n">
        <v>46216</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35763-2025</t>
        </is>
      </c>
      <c r="B153" t="inlineStr">
        <is>
          <t>avverkningsanmälan</t>
        </is>
      </c>
      <c r="C153" t="inlineStr">
        <is>
          <t>Föryngringsavverkning</t>
        </is>
      </c>
      <c r="D153" s="1" t="n">
        <v>45860</v>
      </c>
      <c r="E153" s="1" t="n">
        <v>46216</v>
      </c>
      <c r="F153" t="inlineStr">
        <is>
          <t>ÖSTERGÖTLANDS LÄN</t>
        </is>
      </c>
      <c r="G153" t="inlineStr">
        <is>
          <t>BOXHOLM</t>
        </is>
      </c>
      <c r="I153" t="n">
        <v>3.2</v>
      </c>
      <c r="J153" t="n">
        <v>0</v>
      </c>
      <c r="K153" t="n">
        <v>0</v>
      </c>
      <c r="L153" t="n">
        <v>0</v>
      </c>
      <c r="M153" t="n">
        <v>0</v>
      </c>
      <c r="N153" t="n">
        <v>0</v>
      </c>
      <c r="O153" t="n">
        <v>0</v>
      </c>
      <c r="P153" t="n">
        <v>0</v>
      </c>
      <c r="Q153" t="n">
        <v>0</v>
      </c>
      <c r="R153" t="n">
        <v>0</v>
      </c>
      <c r="S153" t="n">
        <v>0</v>
      </c>
      <c r="T153" t="n">
        <v>0</v>
      </c>
      <c r="U153" s="2" t="inlineStr"/>
    </row>
    <row r="154" ht="15" customHeight="1">
      <c r="A154" t="inlineStr">
        <is>
          <t>A 50612-2025</t>
        </is>
      </c>
      <c r="B154" t="inlineStr">
        <is>
          <t>avverkningsanmälan</t>
        </is>
      </c>
      <c r="C154" t="inlineStr">
        <is>
          <t>Föryngringsavverkning</t>
        </is>
      </c>
      <c r="D154" s="1" t="n">
        <v>45945</v>
      </c>
      <c r="E154" s="1" t="n">
        <v>46216</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51091-2025</t>
        </is>
      </c>
      <c r="B155" t="inlineStr">
        <is>
          <t>avverkningsanmälan</t>
        </is>
      </c>
      <c r="C155" t="inlineStr">
        <is>
          <t>Föryngringsavverkning</t>
        </is>
      </c>
      <c r="D155" s="1" t="n">
        <v>45947</v>
      </c>
      <c r="E155" s="1" t="n">
        <v>46216</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40290-2024</t>
        </is>
      </c>
      <c r="B156" t="inlineStr">
        <is>
          <t>avverkningsanmälan</t>
        </is>
      </c>
      <c r="C156" t="inlineStr">
        <is>
          <t>Föryngringsavverkning</t>
        </is>
      </c>
      <c r="D156" s="1" t="n">
        <v>45554</v>
      </c>
      <c r="E156" s="1" t="n">
        <v>46216</v>
      </c>
      <c r="F156" t="inlineStr">
        <is>
          <t>ÖSTERGÖTLANDS LÄN</t>
        </is>
      </c>
      <c r="G156" t="inlineStr">
        <is>
          <t>BOXHOLM</t>
        </is>
      </c>
      <c r="I156" t="n">
        <v>2.2</v>
      </c>
      <c r="J156" t="n">
        <v>0</v>
      </c>
      <c r="K156" t="n">
        <v>0</v>
      </c>
      <c r="L156" t="n">
        <v>0</v>
      </c>
      <c r="M156" t="n">
        <v>0</v>
      </c>
      <c r="N156" t="n">
        <v>0</v>
      </c>
      <c r="O156" t="n">
        <v>0</v>
      </c>
      <c r="P156" t="n">
        <v>0</v>
      </c>
      <c r="Q156" t="n">
        <v>0</v>
      </c>
      <c r="R156" t="n">
        <v>0</v>
      </c>
      <c r="S156" t="n">
        <v>0</v>
      </c>
      <c r="T156" t="n">
        <v>0</v>
      </c>
      <c r="U156" s="2" t="inlineStr"/>
    </row>
    <row r="157" ht="15" customHeight="1">
      <c r="A157" t="inlineStr">
        <is>
          <t>A 52551-2025</t>
        </is>
      </c>
      <c r="B157" t="inlineStr">
        <is>
          <t>avverkningsanmälan</t>
        </is>
      </c>
      <c r="C157" t="inlineStr">
        <is>
          <t>Avverkning för att bevara och utveckla /försöksver</t>
        </is>
      </c>
      <c r="D157" s="1" t="n">
        <v>45954</v>
      </c>
      <c r="E157" s="1" t="n">
        <v>46216</v>
      </c>
      <c r="F157" t="inlineStr">
        <is>
          <t>ÖSTERGÖTLANDS LÄN</t>
        </is>
      </c>
      <c r="G157" t="inlineStr">
        <is>
          <t>BOXHOLM</t>
        </is>
      </c>
      <c r="H157" t="inlineStr">
        <is>
          <t>Övriga Aktiebolag</t>
        </is>
      </c>
      <c r="I157" t="n">
        <v>1.2</v>
      </c>
      <c r="J157" t="n">
        <v>0</v>
      </c>
      <c r="K157" t="n">
        <v>0</v>
      </c>
      <c r="L157" t="n">
        <v>0</v>
      </c>
      <c r="M157" t="n">
        <v>0</v>
      </c>
      <c r="N157" t="n">
        <v>0</v>
      </c>
      <c r="O157" t="n">
        <v>0</v>
      </c>
      <c r="P157" t="n">
        <v>0</v>
      </c>
      <c r="Q157" t="n">
        <v>0</v>
      </c>
      <c r="R157" t="n">
        <v>0</v>
      </c>
      <c r="S157" t="n">
        <v>0</v>
      </c>
      <c r="T157" t="n">
        <v>0</v>
      </c>
      <c r="U157" s="2" t="inlineStr"/>
    </row>
    <row r="158" ht="15" customHeight="1">
      <c r="A158" t="inlineStr">
        <is>
          <t>A 4005-2026</t>
        </is>
      </c>
      <c r="B158" t="inlineStr">
        <is>
          <t>avverkningsanmälan</t>
        </is>
      </c>
      <c r="C158" t="inlineStr">
        <is>
          <t>Föryngringsavverkning</t>
        </is>
      </c>
      <c r="D158" s="1" t="n">
        <v>46044</v>
      </c>
      <c r="E158" s="1" t="n">
        <v>46216</v>
      </c>
      <c r="F158" t="inlineStr">
        <is>
          <t>ÖSTERGÖTLANDS LÄN</t>
        </is>
      </c>
      <c r="G158" t="inlineStr">
        <is>
          <t>BOXHOLM</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37400-2023</t>
        </is>
      </c>
      <c r="B159" t="inlineStr">
        <is>
          <t>avverkningsanmälan</t>
        </is>
      </c>
      <c r="C159" t="inlineStr">
        <is>
          <t>Föryngringsavverkning</t>
        </is>
      </c>
      <c r="D159" s="1" t="n">
        <v>45156</v>
      </c>
      <c r="E159" s="1" t="n">
        <v>46216</v>
      </c>
      <c r="F159" t="inlineStr">
        <is>
          <t>ÖSTERGÖTLANDS LÄN</t>
        </is>
      </c>
      <c r="G159" t="inlineStr">
        <is>
          <t>BOXHOLM</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3129-2025</t>
        </is>
      </c>
      <c r="B160" t="inlineStr">
        <is>
          <t>avverkningsanmälan</t>
        </is>
      </c>
      <c r="C160" t="inlineStr">
        <is>
          <t>Föryngringsavverkning</t>
        </is>
      </c>
      <c r="D160" s="1" t="n">
        <v>45678</v>
      </c>
      <c r="E160" s="1" t="n">
        <v>46216</v>
      </c>
      <c r="F160" t="inlineStr">
        <is>
          <t>ÖSTERGÖTLANDS LÄN</t>
        </is>
      </c>
      <c r="G160" t="inlineStr">
        <is>
          <t>BOXHOLM</t>
        </is>
      </c>
      <c r="H160" t="inlineStr">
        <is>
          <t>Allmännings- och besparingsskogar</t>
        </is>
      </c>
      <c r="I160" t="n">
        <v>2.9</v>
      </c>
      <c r="J160" t="n">
        <v>0</v>
      </c>
      <c r="K160" t="n">
        <v>0</v>
      </c>
      <c r="L160" t="n">
        <v>0</v>
      </c>
      <c r="M160" t="n">
        <v>0</v>
      </c>
      <c r="N160" t="n">
        <v>0</v>
      </c>
      <c r="O160" t="n">
        <v>0</v>
      </c>
      <c r="P160" t="n">
        <v>0</v>
      </c>
      <c r="Q160" t="n">
        <v>0</v>
      </c>
      <c r="R160" t="n">
        <v>0</v>
      </c>
      <c r="S160" t="n">
        <v>0</v>
      </c>
      <c r="T160" t="n">
        <v>0</v>
      </c>
      <c r="U160" s="2" t="inlineStr"/>
    </row>
    <row r="161" ht="15" customHeight="1">
      <c r="A161" t="inlineStr">
        <is>
          <t>A 19601-2023</t>
        </is>
      </c>
      <c r="B161" t="inlineStr">
        <is>
          <t>avverkningsanmälan</t>
        </is>
      </c>
      <c r="C161" t="inlineStr">
        <is>
          <t>Föryngringsavverkning</t>
        </is>
      </c>
      <c r="D161" s="1" t="n">
        <v>45050</v>
      </c>
      <c r="E161" s="1" t="n">
        <v>46216</v>
      </c>
      <c r="F161" t="inlineStr">
        <is>
          <t>ÖSTERGÖTLANDS LÄN</t>
        </is>
      </c>
      <c r="G161" t="inlineStr">
        <is>
          <t>BOXHOLM</t>
        </is>
      </c>
      <c r="I161" t="n">
        <v>7.2</v>
      </c>
      <c r="J161" t="n">
        <v>0</v>
      </c>
      <c r="K161" t="n">
        <v>0</v>
      </c>
      <c r="L161" t="n">
        <v>0</v>
      </c>
      <c r="M161" t="n">
        <v>0</v>
      </c>
      <c r="N161" t="n">
        <v>0</v>
      </c>
      <c r="O161" t="n">
        <v>0</v>
      </c>
      <c r="P161" t="n">
        <v>0</v>
      </c>
      <c r="Q161" t="n">
        <v>0</v>
      </c>
      <c r="R161" t="n">
        <v>0</v>
      </c>
      <c r="S161" t="n">
        <v>0</v>
      </c>
      <c r="T161" t="n">
        <v>0</v>
      </c>
      <c r="U161" s="2" t="inlineStr"/>
    </row>
    <row r="162" ht="15" customHeight="1">
      <c r="A162" t="inlineStr">
        <is>
          <t>A 52514-2025</t>
        </is>
      </c>
      <c r="B162" t="inlineStr">
        <is>
          <t>avverkningsanmälan</t>
        </is>
      </c>
      <c r="C162" t="inlineStr">
        <is>
          <t>Föryngringsavverkning</t>
        </is>
      </c>
      <c r="D162" s="1" t="n">
        <v>45954</v>
      </c>
      <c r="E162" s="1" t="n">
        <v>46216</v>
      </c>
      <c r="F162" t="inlineStr">
        <is>
          <t>ÖSTERGÖTLANDS LÄN</t>
        </is>
      </c>
      <c r="G162" t="inlineStr">
        <is>
          <t>BOXHOLM</t>
        </is>
      </c>
      <c r="H162" t="inlineStr">
        <is>
          <t>Övriga Aktiebolag</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37551-2025</t>
        </is>
      </c>
      <c r="B163" t="inlineStr">
        <is>
          <t>avverkningsanmälan</t>
        </is>
      </c>
      <c r="C163" t="inlineStr">
        <is>
          <t>Föryngringsavverkning</t>
        </is>
      </c>
      <c r="D163" s="1" t="n">
        <v>45880</v>
      </c>
      <c r="E163" s="1" t="n">
        <v>46216</v>
      </c>
      <c r="F163" t="inlineStr">
        <is>
          <t>ÖSTERGÖTLANDS LÄN</t>
        </is>
      </c>
      <c r="G163" t="inlineStr">
        <is>
          <t>BOXHOLM</t>
        </is>
      </c>
      <c r="H163" t="inlineStr">
        <is>
          <t>Övriga Aktiebolag</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37477-2025</t>
        </is>
      </c>
      <c r="B164" t="inlineStr">
        <is>
          <t>avverkningsanmälan</t>
        </is>
      </c>
      <c r="C164" t="inlineStr">
        <is>
          <t>Avverkning för att bevara och utveckla /försöksver</t>
        </is>
      </c>
      <c r="D164" s="1" t="n">
        <v>45877</v>
      </c>
      <c r="E164" s="1" t="n">
        <v>46216</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37474-2025</t>
        </is>
      </c>
      <c r="B165" t="inlineStr">
        <is>
          <t>avverkningsanmälan</t>
        </is>
      </c>
      <c r="C165" t="inlineStr">
        <is>
          <t>Föryngringsavverkning</t>
        </is>
      </c>
      <c r="D165" s="1" t="n">
        <v>45877</v>
      </c>
      <c r="E165" s="1" t="n">
        <v>46216</v>
      </c>
      <c r="F165" t="inlineStr">
        <is>
          <t>ÖSTERGÖTLANDS LÄN</t>
        </is>
      </c>
      <c r="G165" t="inlineStr">
        <is>
          <t>BOXHOLM</t>
        </is>
      </c>
      <c r="H165" t="inlineStr">
        <is>
          <t>Övriga Aktiebolag</t>
        </is>
      </c>
      <c r="I165" t="n">
        <v>3.1</v>
      </c>
      <c r="J165" t="n">
        <v>0</v>
      </c>
      <c r="K165" t="n">
        <v>0</v>
      </c>
      <c r="L165" t="n">
        <v>0</v>
      </c>
      <c r="M165" t="n">
        <v>0</v>
      </c>
      <c r="N165" t="n">
        <v>0</v>
      </c>
      <c r="O165" t="n">
        <v>0</v>
      </c>
      <c r="P165" t="n">
        <v>0</v>
      </c>
      <c r="Q165" t="n">
        <v>0</v>
      </c>
      <c r="R165" t="n">
        <v>0</v>
      </c>
      <c r="S165" t="n">
        <v>0</v>
      </c>
      <c r="T165" t="n">
        <v>0</v>
      </c>
      <c r="U165" s="2" t="inlineStr"/>
    </row>
    <row r="166" ht="15" customHeight="1">
      <c r="A166" t="inlineStr">
        <is>
          <t>A 32089-2024</t>
        </is>
      </c>
      <c r="B166" t="inlineStr">
        <is>
          <t>avverkningsanmälan</t>
        </is>
      </c>
      <c r="C166" t="inlineStr">
        <is>
          <t>Föryngringsavverkning</t>
        </is>
      </c>
      <c r="D166" s="1" t="n">
        <v>45511</v>
      </c>
      <c r="E166" s="1" t="n">
        <v>46216</v>
      </c>
      <c r="F166" t="inlineStr">
        <is>
          <t>ÖSTERGÖTLANDS LÄN</t>
        </is>
      </c>
      <c r="G166" t="inlineStr">
        <is>
          <t>BOXHOLM</t>
        </is>
      </c>
      <c r="I166" t="n">
        <v>4.3</v>
      </c>
      <c r="J166" t="n">
        <v>0</v>
      </c>
      <c r="K166" t="n">
        <v>0</v>
      </c>
      <c r="L166" t="n">
        <v>0</v>
      </c>
      <c r="M166" t="n">
        <v>0</v>
      </c>
      <c r="N166" t="n">
        <v>0</v>
      </c>
      <c r="O166" t="n">
        <v>0</v>
      </c>
      <c r="P166" t="n">
        <v>0</v>
      </c>
      <c r="Q166" t="n">
        <v>0</v>
      </c>
      <c r="R166" t="n">
        <v>0</v>
      </c>
      <c r="S166" t="n">
        <v>0</v>
      </c>
      <c r="T166" t="n">
        <v>0</v>
      </c>
      <c r="U166" s="2" t="inlineStr"/>
    </row>
    <row r="167" ht="15" customHeight="1">
      <c r="A167" t="inlineStr">
        <is>
          <t>A 54530-2025</t>
        </is>
      </c>
      <c r="B167" t="inlineStr">
        <is>
          <t>avverkningsanmälan</t>
        </is>
      </c>
      <c r="C167" t="inlineStr">
        <is>
          <t>Föryngringsavverkning</t>
        </is>
      </c>
      <c r="D167" s="1" t="n">
        <v>45965</v>
      </c>
      <c r="E167" s="1" t="n">
        <v>46216</v>
      </c>
      <c r="F167" t="inlineStr">
        <is>
          <t>ÖSTERGÖTLANDS LÄN</t>
        </is>
      </c>
      <c r="G167" t="inlineStr">
        <is>
          <t>BOXHOLM</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1666-2025</t>
        </is>
      </c>
      <c r="B168" t="inlineStr">
        <is>
          <t>avverkningsanmälan</t>
        </is>
      </c>
      <c r="C168" t="inlineStr">
        <is>
          <t>Föryngringsavverkning</t>
        </is>
      </c>
      <c r="D168" s="1" t="n">
        <v>45670</v>
      </c>
      <c r="E168" s="1" t="n">
        <v>46216</v>
      </c>
      <c r="F168" t="inlineStr">
        <is>
          <t>ÖSTERGÖTLANDS LÄN</t>
        </is>
      </c>
      <c r="G168" t="inlineStr">
        <is>
          <t>BOXHOLM</t>
        </is>
      </c>
      <c r="I168" t="n">
        <v>6.8</v>
      </c>
      <c r="J168" t="n">
        <v>0</v>
      </c>
      <c r="K168" t="n">
        <v>0</v>
      </c>
      <c r="L168" t="n">
        <v>0</v>
      </c>
      <c r="M168" t="n">
        <v>0</v>
      </c>
      <c r="N168" t="n">
        <v>0</v>
      </c>
      <c r="O168" t="n">
        <v>0</v>
      </c>
      <c r="P168" t="n">
        <v>0</v>
      </c>
      <c r="Q168" t="n">
        <v>0</v>
      </c>
      <c r="R168" t="n">
        <v>0</v>
      </c>
      <c r="S168" t="n">
        <v>0</v>
      </c>
      <c r="T168" t="n">
        <v>0</v>
      </c>
      <c r="U168" s="2" t="inlineStr"/>
    </row>
    <row r="169" ht="15" customHeight="1">
      <c r="A169" t="inlineStr">
        <is>
          <t>A 54521-2025</t>
        </is>
      </c>
      <c r="B169" t="inlineStr">
        <is>
          <t>avverkningsanmälan</t>
        </is>
      </c>
      <c r="C169" t="inlineStr">
        <is>
          <t>Föryngringsavverkning</t>
        </is>
      </c>
      <c r="D169" s="1" t="n">
        <v>45965</v>
      </c>
      <c r="E169" s="1" t="n">
        <v>46216</v>
      </c>
      <c r="F169" t="inlineStr">
        <is>
          <t>ÖSTERGÖTLANDS LÄN</t>
        </is>
      </c>
      <c r="G169" t="inlineStr">
        <is>
          <t>BOXHOLM</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54547-2025</t>
        </is>
      </c>
      <c r="B170" t="inlineStr">
        <is>
          <t>avverkningsanmälan</t>
        </is>
      </c>
      <c r="C170" t="inlineStr">
        <is>
          <t>Föryngringsavverkning</t>
        </is>
      </c>
      <c r="D170" s="1" t="n">
        <v>45965</v>
      </c>
      <c r="E170" s="1" t="n">
        <v>46216</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54465-2025</t>
        </is>
      </c>
      <c r="B171" t="inlineStr">
        <is>
          <t>avverkningsanmälan</t>
        </is>
      </c>
      <c r="C171" t="inlineStr">
        <is>
          <t>Föryngringsavverkning</t>
        </is>
      </c>
      <c r="D171" s="1" t="n">
        <v>45965</v>
      </c>
      <c r="E171" s="1" t="n">
        <v>46216</v>
      </c>
      <c r="F171" t="inlineStr">
        <is>
          <t>ÖSTERGÖTLANDS LÄN</t>
        </is>
      </c>
      <c r="G171" t="inlineStr">
        <is>
          <t>BOXHOLM</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54540-2025</t>
        </is>
      </c>
      <c r="B172" t="inlineStr">
        <is>
          <t>avverkningsanmälan</t>
        </is>
      </c>
      <c r="C172" t="inlineStr">
        <is>
          <t>Föryngringsavverkning</t>
        </is>
      </c>
      <c r="D172" s="1" t="n">
        <v>45965</v>
      </c>
      <c r="E172" s="1" t="n">
        <v>46216</v>
      </c>
      <c r="F172" t="inlineStr">
        <is>
          <t>ÖSTERGÖTLANDS LÄN</t>
        </is>
      </c>
      <c r="G172" t="inlineStr">
        <is>
          <t>BOXHOLM</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53356-2024</t>
        </is>
      </c>
      <c r="B173" t="inlineStr">
        <is>
          <t>avverkningsanmälan</t>
        </is>
      </c>
      <c r="C173" t="inlineStr">
        <is>
          <t>Föryngringsavverkning</t>
        </is>
      </c>
      <c r="D173" s="1" t="n">
        <v>45614</v>
      </c>
      <c r="E173" s="1" t="n">
        <v>46216</v>
      </c>
      <c r="F173" t="inlineStr">
        <is>
          <t>ÖSTERGÖTLANDS LÄN</t>
        </is>
      </c>
      <c r="G173" t="inlineStr">
        <is>
          <t>BOXHOLM</t>
        </is>
      </c>
      <c r="H173" t="inlineStr">
        <is>
          <t>Övriga Aktiebolag</t>
        </is>
      </c>
      <c r="I173" t="n">
        <v>2.1</v>
      </c>
      <c r="J173" t="n">
        <v>0</v>
      </c>
      <c r="K173" t="n">
        <v>0</v>
      </c>
      <c r="L173" t="n">
        <v>0</v>
      </c>
      <c r="M173" t="n">
        <v>0</v>
      </c>
      <c r="N173" t="n">
        <v>0</v>
      </c>
      <c r="O173" t="n">
        <v>0</v>
      </c>
      <c r="P173" t="n">
        <v>0</v>
      </c>
      <c r="Q173" t="n">
        <v>0</v>
      </c>
      <c r="R173" t="n">
        <v>0</v>
      </c>
      <c r="S173" t="n">
        <v>0</v>
      </c>
      <c r="T173" t="n">
        <v>0</v>
      </c>
      <c r="U173" s="2" t="inlineStr"/>
    </row>
    <row r="174" ht="15" customHeight="1">
      <c r="A174" t="inlineStr">
        <is>
          <t>A 57606-2025</t>
        </is>
      </c>
      <c r="B174" t="inlineStr">
        <is>
          <t>avverkningsanmälan</t>
        </is>
      </c>
      <c r="C174" t="inlineStr">
        <is>
          <t>Föryngringsavverkning</t>
        </is>
      </c>
      <c r="D174" s="1" t="n">
        <v>45981</v>
      </c>
      <c r="E174" s="1" t="n">
        <v>46216</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49990-2021</t>
        </is>
      </c>
      <c r="B175" t="inlineStr">
        <is>
          <t>avverkningsanmälan</t>
        </is>
      </c>
      <c r="C175" t="inlineStr">
        <is>
          <t>Föryngringsavverkning</t>
        </is>
      </c>
      <c r="D175" s="1" t="n">
        <v>44456</v>
      </c>
      <c r="E175" s="1" t="n">
        <v>46216</v>
      </c>
      <c r="F175" t="inlineStr">
        <is>
          <t>ÖSTERGÖTLANDS LÄN</t>
        </is>
      </c>
      <c r="G175" t="inlineStr">
        <is>
          <t>BOXHOLM</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58760-2025</t>
        </is>
      </c>
      <c r="B176" t="inlineStr">
        <is>
          <t>avverkningsanmälan</t>
        </is>
      </c>
      <c r="C176" t="inlineStr">
        <is>
          <t>Avverkning för att bevara och utveckla /försöksver</t>
        </is>
      </c>
      <c r="D176" s="1" t="n">
        <v>45986</v>
      </c>
      <c r="E176" s="1" t="n">
        <v>46216</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58763-2025</t>
        </is>
      </c>
      <c r="B177" t="inlineStr">
        <is>
          <t>avverkningsanmälan</t>
        </is>
      </c>
      <c r="C177" t="inlineStr">
        <is>
          <t>Avverkning för att bevara och utveckla /försöksver</t>
        </is>
      </c>
      <c r="D177" s="1" t="n">
        <v>45986</v>
      </c>
      <c r="E177" s="1" t="n">
        <v>46216</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59485-2025</t>
        </is>
      </c>
      <c r="B178" t="inlineStr">
        <is>
          <t>avverkningsanmälan</t>
        </is>
      </c>
      <c r="C178" t="inlineStr">
        <is>
          <t>Föryngringsavverkning</t>
        </is>
      </c>
      <c r="D178" s="1" t="n">
        <v>45989</v>
      </c>
      <c r="E178" s="1" t="n">
        <v>46216</v>
      </c>
      <c r="F178" t="inlineStr">
        <is>
          <t>ÖSTERGÖTLANDS LÄN</t>
        </is>
      </c>
      <c r="G178" t="inlineStr">
        <is>
          <t>BOXHOLM</t>
        </is>
      </c>
      <c r="H178" t="inlineStr">
        <is>
          <t>Övriga Aktiebolag</t>
        </is>
      </c>
      <c r="I178" t="n">
        <v>1.1</v>
      </c>
      <c r="J178" t="n">
        <v>0</v>
      </c>
      <c r="K178" t="n">
        <v>0</v>
      </c>
      <c r="L178" t="n">
        <v>0</v>
      </c>
      <c r="M178" t="n">
        <v>0</v>
      </c>
      <c r="N178" t="n">
        <v>0</v>
      </c>
      <c r="O178" t="n">
        <v>0</v>
      </c>
      <c r="P178" t="n">
        <v>0</v>
      </c>
      <c r="Q178" t="n">
        <v>0</v>
      </c>
      <c r="R178" t="n">
        <v>0</v>
      </c>
      <c r="S178" t="n">
        <v>0</v>
      </c>
      <c r="T178" t="n">
        <v>0</v>
      </c>
      <c r="U178" s="2" t="inlineStr"/>
    </row>
    <row r="179" ht="15" customHeight="1">
      <c r="A179" t="inlineStr">
        <is>
          <t>A 59490-2025</t>
        </is>
      </c>
      <c r="B179" t="inlineStr">
        <is>
          <t>avverkningsanmälan</t>
        </is>
      </c>
      <c r="C179" t="inlineStr">
        <is>
          <t>Föryngringsavverkning</t>
        </is>
      </c>
      <c r="D179" s="1" t="n">
        <v>45989</v>
      </c>
      <c r="E179" s="1" t="n">
        <v>46216</v>
      </c>
      <c r="F179" t="inlineStr">
        <is>
          <t>ÖSTERGÖTLANDS LÄN</t>
        </is>
      </c>
      <c r="G179" t="inlineStr">
        <is>
          <t>BOXHOLM</t>
        </is>
      </c>
      <c r="H179" t="inlineStr">
        <is>
          <t>Övriga Aktiebolag</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43824-2023</t>
        </is>
      </c>
      <c r="B180" t="inlineStr">
        <is>
          <t>avverkningsanmälan</t>
        </is>
      </c>
      <c r="C180" t="inlineStr">
        <is>
          <t>Föryngringsavverkning</t>
        </is>
      </c>
      <c r="D180" s="1" t="n">
        <v>45187</v>
      </c>
      <c r="E180" s="1" t="n">
        <v>46216</v>
      </c>
      <c r="F180" t="inlineStr">
        <is>
          <t>ÖSTERGÖTLANDS LÄN</t>
        </is>
      </c>
      <c r="G180" t="inlineStr">
        <is>
          <t>BOXHOLM</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19356-2022</t>
        </is>
      </c>
      <c r="B181" t="inlineStr">
        <is>
          <t>avverkningsanmälan</t>
        </is>
      </c>
      <c r="C181" t="inlineStr">
        <is>
          <t>Föryngringsavverkning</t>
        </is>
      </c>
      <c r="D181" s="1" t="n">
        <v>44692</v>
      </c>
      <c r="E181" s="1" t="n">
        <v>46216</v>
      </c>
      <c r="F181" t="inlineStr">
        <is>
          <t>ÖSTERGÖTLANDS LÄN</t>
        </is>
      </c>
      <c r="G181" t="inlineStr">
        <is>
          <t>BOXHOLM</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59833-2025</t>
        </is>
      </c>
      <c r="B182" t="inlineStr">
        <is>
          <t>avverkningsanmälan</t>
        </is>
      </c>
      <c r="C182" t="inlineStr">
        <is>
          <t>Föryngringsavverkning</t>
        </is>
      </c>
      <c r="D182" s="1" t="n">
        <v>45992</v>
      </c>
      <c r="E182" s="1" t="n">
        <v>46216</v>
      </c>
      <c r="F182" t="inlineStr">
        <is>
          <t>ÖSTERGÖTLANDS LÄN</t>
        </is>
      </c>
      <c r="G182" t="inlineStr">
        <is>
          <t>BOXHOLM</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8948-2026</t>
        </is>
      </c>
      <c r="B183" t="inlineStr">
        <is>
          <t>avverkningsanmälan</t>
        </is>
      </c>
      <c r="C183" t="inlineStr">
        <is>
          <t>Föryngringsavverkning</t>
        </is>
      </c>
      <c r="D183" s="1" t="n">
        <v>46069</v>
      </c>
      <c r="E183" s="1" t="n">
        <v>46216</v>
      </c>
      <c r="F183" t="inlineStr">
        <is>
          <t>ÖSTERGÖTLANDS LÄN</t>
        </is>
      </c>
      <c r="G183" t="inlineStr">
        <is>
          <t>BOXHOLM</t>
        </is>
      </c>
      <c r="H183" t="inlineStr">
        <is>
          <t>Övriga Aktiebolag</t>
        </is>
      </c>
      <c r="I183" t="n">
        <v>3.6</v>
      </c>
      <c r="J183" t="n">
        <v>0</v>
      </c>
      <c r="K183" t="n">
        <v>0</v>
      </c>
      <c r="L183" t="n">
        <v>0</v>
      </c>
      <c r="M183" t="n">
        <v>0</v>
      </c>
      <c r="N183" t="n">
        <v>0</v>
      </c>
      <c r="O183" t="n">
        <v>0</v>
      </c>
      <c r="P183" t="n">
        <v>0</v>
      </c>
      <c r="Q183" t="n">
        <v>0</v>
      </c>
      <c r="R183" t="n">
        <v>0</v>
      </c>
      <c r="S183" t="n">
        <v>0</v>
      </c>
      <c r="T183" t="n">
        <v>0</v>
      </c>
      <c r="U183" s="2" t="inlineStr"/>
    </row>
    <row r="184" ht="15" customHeight="1">
      <c r="A184" t="inlineStr">
        <is>
          <t>A 62192-2022</t>
        </is>
      </c>
      <c r="B184" t="inlineStr">
        <is>
          <t>avverkningsanmälan</t>
        </is>
      </c>
      <c r="C184" t="inlineStr">
        <is>
          <t>Föryngringsavverkning</t>
        </is>
      </c>
      <c r="D184" s="1" t="n">
        <v>44914</v>
      </c>
      <c r="E184" s="1" t="n">
        <v>46216</v>
      </c>
      <c r="F184" t="inlineStr">
        <is>
          <t>ÖSTERGÖTLANDS LÄN</t>
        </is>
      </c>
      <c r="G184" t="inlineStr">
        <is>
          <t>BOXHOLM</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60790-2023</t>
        </is>
      </c>
      <c r="B185" t="inlineStr">
        <is>
          <t>avverkningsanmälan</t>
        </is>
      </c>
      <c r="C185" t="inlineStr">
        <is>
          <t>Föryngringsavverkning</t>
        </is>
      </c>
      <c r="D185" s="1" t="n">
        <v>45259</v>
      </c>
      <c r="E185" s="1" t="n">
        <v>46216</v>
      </c>
      <c r="F185" t="inlineStr">
        <is>
          <t>ÖSTERGÖTLANDS LÄN</t>
        </is>
      </c>
      <c r="G185" t="inlineStr">
        <is>
          <t>BOXHOLM</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36331-2022</t>
        </is>
      </c>
      <c r="B186" t="inlineStr">
        <is>
          <t>avverkningsanmälan</t>
        </is>
      </c>
      <c r="C186" t="inlineStr">
        <is>
          <t>Föryngringsavverkning</t>
        </is>
      </c>
      <c r="D186" s="1" t="n">
        <v>44803</v>
      </c>
      <c r="E186" s="1" t="n">
        <v>46216</v>
      </c>
      <c r="F186" t="inlineStr">
        <is>
          <t>ÖSTERGÖTLANDS LÄN</t>
        </is>
      </c>
      <c r="G186" t="inlineStr">
        <is>
          <t>BOXHOLM</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60521-2025</t>
        </is>
      </c>
      <c r="B187" t="inlineStr">
        <is>
          <t>avverkningsanmälan</t>
        </is>
      </c>
      <c r="C187" t="inlineStr">
        <is>
          <t>Föryngringsavverkning</t>
        </is>
      </c>
      <c r="D187" s="1" t="n">
        <v>45995</v>
      </c>
      <c r="E187" s="1" t="n">
        <v>46216</v>
      </c>
      <c r="F187" t="inlineStr">
        <is>
          <t>ÖSTERGÖTLANDS LÄN</t>
        </is>
      </c>
      <c r="G187" t="inlineStr">
        <is>
          <t>BOXHOLM</t>
        </is>
      </c>
      <c r="H187" t="inlineStr">
        <is>
          <t>Allmännings- och besparingsskogar</t>
        </is>
      </c>
      <c r="I187" t="n">
        <v>9</v>
      </c>
      <c r="J187" t="n">
        <v>0</v>
      </c>
      <c r="K187" t="n">
        <v>0</v>
      </c>
      <c r="L187" t="n">
        <v>0</v>
      </c>
      <c r="M187" t="n">
        <v>0</v>
      </c>
      <c r="N187" t="n">
        <v>0</v>
      </c>
      <c r="O187" t="n">
        <v>0</v>
      </c>
      <c r="P187" t="n">
        <v>0</v>
      </c>
      <c r="Q187" t="n">
        <v>0</v>
      </c>
      <c r="R187" t="n">
        <v>0</v>
      </c>
      <c r="S187" t="n">
        <v>0</v>
      </c>
      <c r="T187" t="n">
        <v>0</v>
      </c>
      <c r="U187" s="2" t="inlineStr"/>
    </row>
    <row r="188" ht="15" customHeight="1">
      <c r="A188" t="inlineStr">
        <is>
          <t>A 9422-2026</t>
        </is>
      </c>
      <c r="B188" t="inlineStr">
        <is>
          <t>avverkningsanmälan</t>
        </is>
      </c>
      <c r="C188" t="inlineStr">
        <is>
          <t>Föryngringsavverkning</t>
        </is>
      </c>
      <c r="D188" s="1" t="n">
        <v>46071</v>
      </c>
      <c r="E188" s="1" t="n">
        <v>46216</v>
      </c>
      <c r="F188" t="inlineStr">
        <is>
          <t>ÖSTERGÖTLANDS LÄN</t>
        </is>
      </c>
      <c r="G188" t="inlineStr">
        <is>
          <t>BOXHOLM</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60638-2025</t>
        </is>
      </c>
      <c r="B189" t="inlineStr">
        <is>
          <t>avverkningsanmälan</t>
        </is>
      </c>
      <c r="C189" t="inlineStr">
        <is>
          <t>Avverkning för att bevara och utveckla /försöksver</t>
        </is>
      </c>
      <c r="D189" s="1" t="n">
        <v>45996</v>
      </c>
      <c r="E189" s="1" t="n">
        <v>46216</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3569-2024</t>
        </is>
      </c>
      <c r="B190" t="inlineStr">
        <is>
          <t>avverkningsanmälan</t>
        </is>
      </c>
      <c r="C190" t="inlineStr">
        <is>
          <t>Föryngringsavverkning</t>
        </is>
      </c>
      <c r="D190" s="1" t="n">
        <v>45320</v>
      </c>
      <c r="E190" s="1" t="n">
        <v>46216</v>
      </c>
      <c r="F190" t="inlineStr">
        <is>
          <t>ÖSTERGÖTLANDS LÄN</t>
        </is>
      </c>
      <c r="G190" t="inlineStr">
        <is>
          <t>BOXHOLM</t>
        </is>
      </c>
      <c r="H190" t="inlineStr">
        <is>
          <t>Övriga Aktiebolag</t>
        </is>
      </c>
      <c r="I190" t="n">
        <v>1.2</v>
      </c>
      <c r="J190" t="n">
        <v>0</v>
      </c>
      <c r="K190" t="n">
        <v>0</v>
      </c>
      <c r="L190" t="n">
        <v>0</v>
      </c>
      <c r="M190" t="n">
        <v>0</v>
      </c>
      <c r="N190" t="n">
        <v>0</v>
      </c>
      <c r="O190" t="n">
        <v>0</v>
      </c>
      <c r="P190" t="n">
        <v>0</v>
      </c>
      <c r="Q190" t="n">
        <v>0</v>
      </c>
      <c r="R190" t="n">
        <v>0</v>
      </c>
      <c r="S190" t="n">
        <v>0</v>
      </c>
      <c r="T190" t="n">
        <v>0</v>
      </c>
      <c r="U190" s="2" t="inlineStr"/>
    </row>
    <row r="191" ht="15" customHeight="1">
      <c r="A191" t="inlineStr">
        <is>
          <t>A 61961-2025</t>
        </is>
      </c>
      <c r="B191" t="inlineStr">
        <is>
          <t>avverkningsanmälan</t>
        </is>
      </c>
      <c r="C191" t="inlineStr">
        <is>
          <t>Föryngringsavverkning</t>
        </is>
      </c>
      <c r="D191" s="1" t="n">
        <v>46003</v>
      </c>
      <c r="E191" s="1" t="n">
        <v>46216</v>
      </c>
      <c r="F191" t="inlineStr">
        <is>
          <t>ÖSTERGÖTLANDS LÄN</t>
        </is>
      </c>
      <c r="G191" t="inlineStr">
        <is>
          <t>BOXHOLM</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61966-2025</t>
        </is>
      </c>
      <c r="B192" t="inlineStr">
        <is>
          <t>avverkningsanmälan</t>
        </is>
      </c>
      <c r="C192" t="inlineStr">
        <is>
          <t>Föryngringsavverkning</t>
        </is>
      </c>
      <c r="D192" s="1" t="n">
        <v>46003</v>
      </c>
      <c r="E192" s="1" t="n">
        <v>46216</v>
      </c>
      <c r="F192" t="inlineStr">
        <is>
          <t>ÖSTERGÖTLANDS LÄN</t>
        </is>
      </c>
      <c r="G192" t="inlineStr">
        <is>
          <t>BOXHOLM</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1597-2023</t>
        </is>
      </c>
      <c r="B193" t="inlineStr">
        <is>
          <t>avverkningsanmälan</t>
        </is>
      </c>
      <c r="C193" t="inlineStr">
        <is>
          <t>Föryngringsavverkning</t>
        </is>
      </c>
      <c r="D193" s="1" t="n">
        <v>44937</v>
      </c>
      <c r="E193" s="1" t="n">
        <v>46216</v>
      </c>
      <c r="F193" t="inlineStr">
        <is>
          <t>ÖSTERGÖTLANDS LÄN</t>
        </is>
      </c>
      <c r="G193" t="inlineStr">
        <is>
          <t>BOXHOLM</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62776-2025</t>
        </is>
      </c>
      <c r="B194" t="inlineStr">
        <is>
          <t>avverkningsanmälan</t>
        </is>
      </c>
      <c r="C194" t="inlineStr">
        <is>
          <t>Avverkning för att bevara och utveckla /försöksver</t>
        </is>
      </c>
      <c r="D194" s="1" t="n">
        <v>46008</v>
      </c>
      <c r="E194" s="1" t="n">
        <v>46216</v>
      </c>
      <c r="F194" t="inlineStr">
        <is>
          <t>ÖSTERGÖTLANDS LÄN</t>
        </is>
      </c>
      <c r="G194" t="inlineStr">
        <is>
          <t>BOXHOLM</t>
        </is>
      </c>
      <c r="H194" t="inlineStr">
        <is>
          <t>Övriga Aktiebolag</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8843-2025</t>
        </is>
      </c>
      <c r="B195" t="inlineStr">
        <is>
          <t>avverkningsanmälan</t>
        </is>
      </c>
      <c r="C195" t="inlineStr">
        <is>
          <t>Avverkning för att bevara och utveckla /försöksver</t>
        </is>
      </c>
      <c r="D195" s="1" t="n">
        <v>45713</v>
      </c>
      <c r="E195" s="1" t="n">
        <v>46216</v>
      </c>
      <c r="F195" t="inlineStr">
        <is>
          <t>ÖSTERGÖTLANDS LÄN</t>
        </is>
      </c>
      <c r="G195" t="inlineStr">
        <is>
          <t>BOXHOLM</t>
        </is>
      </c>
      <c r="H195" t="inlineStr">
        <is>
          <t>Övriga Aktiebolag</t>
        </is>
      </c>
      <c r="I195" t="n">
        <v>0</v>
      </c>
      <c r="J195" t="n">
        <v>0</v>
      </c>
      <c r="K195" t="n">
        <v>0</v>
      </c>
      <c r="L195" t="n">
        <v>0</v>
      </c>
      <c r="M195" t="n">
        <v>0</v>
      </c>
      <c r="N195" t="n">
        <v>0</v>
      </c>
      <c r="O195" t="n">
        <v>0</v>
      </c>
      <c r="P195" t="n">
        <v>0</v>
      </c>
      <c r="Q195" t="n">
        <v>0</v>
      </c>
      <c r="R195" t="n">
        <v>0</v>
      </c>
      <c r="S195" t="n">
        <v>0</v>
      </c>
      <c r="T195" t="n">
        <v>0</v>
      </c>
      <c r="U195" s="2" t="inlineStr"/>
    </row>
    <row r="196" ht="15" customHeight="1">
      <c r="A196" t="inlineStr">
        <is>
          <t>A 11304-2026</t>
        </is>
      </c>
      <c r="B196" t="inlineStr">
        <is>
          <t>avverkningsanmälan</t>
        </is>
      </c>
      <c r="C196" t="inlineStr">
        <is>
          <t>Föryngringsavverkning</t>
        </is>
      </c>
      <c r="D196" s="1" t="n">
        <v>46080</v>
      </c>
      <c r="E196" s="1" t="n">
        <v>46216</v>
      </c>
      <c r="F196" t="inlineStr">
        <is>
          <t>ÖSTERGÖTLANDS LÄN</t>
        </is>
      </c>
      <c r="G196" t="inlineStr">
        <is>
          <t>BOXHOLM</t>
        </is>
      </c>
      <c r="H196" t="inlineStr">
        <is>
          <t>Allmännings- och besparingsskogar</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62796-2025</t>
        </is>
      </c>
      <c r="B197" t="inlineStr">
        <is>
          <t>avverkningsanmälan</t>
        </is>
      </c>
      <c r="C197" t="inlineStr">
        <is>
          <t>Avverkning för att bevara och utveckla /försöksver</t>
        </is>
      </c>
      <c r="D197" s="1" t="n">
        <v>46008</v>
      </c>
      <c r="E197" s="1" t="n">
        <v>46216</v>
      </c>
      <c r="F197" t="inlineStr">
        <is>
          <t>ÖSTERGÖTLANDS LÄN</t>
        </is>
      </c>
      <c r="G197" t="inlineStr">
        <is>
          <t>BOXHOLM</t>
        </is>
      </c>
      <c r="H197" t="inlineStr">
        <is>
          <t>Övriga Aktiebolag</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74128-2021</t>
        </is>
      </c>
      <c r="B198" t="inlineStr">
        <is>
          <t>avverkningsanmälan</t>
        </is>
      </c>
      <c r="C198" t="inlineStr">
        <is>
          <t>Föryngringsavverkning</t>
        </is>
      </c>
      <c r="D198" s="1" t="n">
        <v>44557</v>
      </c>
      <c r="E198" s="1" t="n">
        <v>46216</v>
      </c>
      <c r="F198" t="inlineStr">
        <is>
          <t>ÖSTERGÖTLANDS LÄN</t>
        </is>
      </c>
      <c r="G198" t="inlineStr">
        <is>
          <t>BOXHOLM</t>
        </is>
      </c>
      <c r="I198" t="n">
        <v>4.9</v>
      </c>
      <c r="J198" t="n">
        <v>0</v>
      </c>
      <c r="K198" t="n">
        <v>0</v>
      </c>
      <c r="L198" t="n">
        <v>0</v>
      </c>
      <c r="M198" t="n">
        <v>0</v>
      </c>
      <c r="N198" t="n">
        <v>0</v>
      </c>
      <c r="O198" t="n">
        <v>0</v>
      </c>
      <c r="P198" t="n">
        <v>0</v>
      </c>
      <c r="Q198" t="n">
        <v>0</v>
      </c>
      <c r="R198" t="n">
        <v>0</v>
      </c>
      <c r="S198" t="n">
        <v>0</v>
      </c>
      <c r="T198" t="n">
        <v>0</v>
      </c>
      <c r="U198" s="2" t="inlineStr"/>
    </row>
    <row r="199" ht="15" customHeight="1">
      <c r="A199" t="inlineStr">
        <is>
          <t>A 17728-2025</t>
        </is>
      </c>
      <c r="B199" t="inlineStr">
        <is>
          <t>avverkningsanmälan</t>
        </is>
      </c>
      <c r="C199" t="inlineStr">
        <is>
          <t>Föryngringsavverkning</t>
        </is>
      </c>
      <c r="D199" s="1" t="n">
        <v>45758</v>
      </c>
      <c r="E199" s="1" t="n">
        <v>46216</v>
      </c>
      <c r="F199" t="inlineStr">
        <is>
          <t>ÖSTERGÖTLANDS LÄN</t>
        </is>
      </c>
      <c r="G199" t="inlineStr">
        <is>
          <t>BOXHOLM</t>
        </is>
      </c>
      <c r="H199" t="inlineStr">
        <is>
          <t>Övriga Aktiebolag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10250-2023</t>
        </is>
      </c>
      <c r="B200" t="inlineStr">
        <is>
          <t>avverkningsanmälan</t>
        </is>
      </c>
      <c r="C200" t="inlineStr">
        <is>
          <t>Föryngringsavverkning</t>
        </is>
      </c>
      <c r="D200" s="1" t="n">
        <v>44980</v>
      </c>
      <c r="E200" s="1" t="n">
        <v>46216</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15746-2023</t>
        </is>
      </c>
      <c r="B201" t="inlineStr">
        <is>
          <t>avverkningsanmälan</t>
        </is>
      </c>
      <c r="C201" t="inlineStr">
        <is>
          <t>Föryngringsavverkning</t>
        </is>
      </c>
      <c r="D201" s="1" t="n">
        <v>45021</v>
      </c>
      <c r="E201" s="1" t="n">
        <v>46216</v>
      </c>
      <c r="F201" t="inlineStr">
        <is>
          <t>ÖSTERGÖTLANDS LÄN</t>
        </is>
      </c>
      <c r="G201" t="inlineStr">
        <is>
          <t>BOXHOLM</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36491-2023</t>
        </is>
      </c>
      <c r="B202" t="inlineStr">
        <is>
          <t>avverkningsanmälan</t>
        </is>
      </c>
      <c r="C202" t="inlineStr">
        <is>
          <t>Föryngringsavverkning</t>
        </is>
      </c>
      <c r="D202" s="1" t="n">
        <v>45152</v>
      </c>
      <c r="E202" s="1" t="n">
        <v>46216</v>
      </c>
      <c r="F202" t="inlineStr">
        <is>
          <t>ÖSTERGÖTLANDS LÄN</t>
        </is>
      </c>
      <c r="G202" t="inlineStr">
        <is>
          <t>BOXHOLM</t>
        </is>
      </c>
      <c r="I202" t="n">
        <v>10</v>
      </c>
      <c r="J202" t="n">
        <v>0</v>
      </c>
      <c r="K202" t="n">
        <v>0</v>
      </c>
      <c r="L202" t="n">
        <v>0</v>
      </c>
      <c r="M202" t="n">
        <v>0</v>
      </c>
      <c r="N202" t="n">
        <v>0</v>
      </c>
      <c r="O202" t="n">
        <v>0</v>
      </c>
      <c r="P202" t="n">
        <v>0</v>
      </c>
      <c r="Q202" t="n">
        <v>0</v>
      </c>
      <c r="R202" t="n">
        <v>0</v>
      </c>
      <c r="S202" t="n">
        <v>0</v>
      </c>
      <c r="T202" t="n">
        <v>0</v>
      </c>
      <c r="U202" s="2" t="inlineStr"/>
    </row>
    <row r="203" ht="15" customHeight="1">
      <c r="A203" t="inlineStr">
        <is>
          <t>A 25127-2024</t>
        </is>
      </c>
      <c r="B203" t="inlineStr">
        <is>
          <t>avverkningsanmälan</t>
        </is>
      </c>
      <c r="C203" t="inlineStr">
        <is>
          <t>Avverkning för att bevara och utveckla /försöksver</t>
        </is>
      </c>
      <c r="D203" s="1" t="n">
        <v>45462</v>
      </c>
      <c r="E203" s="1" t="n">
        <v>46216</v>
      </c>
      <c r="F203" t="inlineStr">
        <is>
          <t>ÖSTERGÖTLANDS LÄN</t>
        </is>
      </c>
      <c r="G203" t="inlineStr">
        <is>
          <t>BOXHOLM</t>
        </is>
      </c>
      <c r="H203" t="inlineStr">
        <is>
          <t>Övriga Aktiebolag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9059-2023</t>
        </is>
      </c>
      <c r="B204" t="inlineStr">
        <is>
          <t>avverkningsanmälan</t>
        </is>
      </c>
      <c r="C204" t="inlineStr">
        <is>
          <t>Föryngringsavverkning</t>
        </is>
      </c>
      <c r="D204" s="1" t="n">
        <v>44979</v>
      </c>
      <c r="E204" s="1" t="n">
        <v>46216</v>
      </c>
      <c r="F204" t="inlineStr">
        <is>
          <t>ÖSTERGÖTLANDS LÄN</t>
        </is>
      </c>
      <c r="G204" t="inlineStr">
        <is>
          <t>BOXHOLM</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13606-2024</t>
        </is>
      </c>
      <c r="B205" t="inlineStr">
        <is>
          <t>avverkningsanmälan</t>
        </is>
      </c>
      <c r="C205" t="inlineStr">
        <is>
          <t>Föryngringsavverkning</t>
        </is>
      </c>
      <c r="D205" s="1" t="n">
        <v>45390</v>
      </c>
      <c r="E205" s="1" t="n">
        <v>46216</v>
      </c>
      <c r="F205" t="inlineStr">
        <is>
          <t>ÖSTERGÖTLANDS LÄN</t>
        </is>
      </c>
      <c r="G205" t="inlineStr">
        <is>
          <t>BOXHOLM</t>
        </is>
      </c>
      <c r="H205" t="inlineStr">
        <is>
          <t>Övriga Aktiebolag</t>
        </is>
      </c>
      <c r="I205" t="n">
        <v>5.8</v>
      </c>
      <c r="J205" t="n">
        <v>0</v>
      </c>
      <c r="K205" t="n">
        <v>0</v>
      </c>
      <c r="L205" t="n">
        <v>0</v>
      </c>
      <c r="M205" t="n">
        <v>0</v>
      </c>
      <c r="N205" t="n">
        <v>0</v>
      </c>
      <c r="O205" t="n">
        <v>0</v>
      </c>
      <c r="P205" t="n">
        <v>0</v>
      </c>
      <c r="Q205" t="n">
        <v>0</v>
      </c>
      <c r="R205" t="n">
        <v>0</v>
      </c>
      <c r="S205" t="n">
        <v>0</v>
      </c>
      <c r="T205" t="n">
        <v>0</v>
      </c>
      <c r="U205" s="2" t="inlineStr"/>
    </row>
    <row r="206" ht="15" customHeight="1">
      <c r="A206" t="inlineStr">
        <is>
          <t>A 54934-2022</t>
        </is>
      </c>
      <c r="B206" t="inlineStr">
        <is>
          <t>avverkningsanmälan</t>
        </is>
      </c>
      <c r="C206" t="inlineStr">
        <is>
          <t>Föryngringsavverkning</t>
        </is>
      </c>
      <c r="D206" s="1" t="n">
        <v>44886</v>
      </c>
      <c r="E206" s="1" t="n">
        <v>46216</v>
      </c>
      <c r="F206" t="inlineStr">
        <is>
          <t>ÖSTERGÖTLANDS LÄN</t>
        </is>
      </c>
      <c r="G206" t="inlineStr">
        <is>
          <t>BOXHOLM</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56125-2025</t>
        </is>
      </c>
      <c r="B207" t="inlineStr">
        <is>
          <t>avverkningsanmälan</t>
        </is>
      </c>
      <c r="C207" t="inlineStr">
        <is>
          <t>Föryngringsavverkning</t>
        </is>
      </c>
      <c r="D207" s="1" t="n">
        <v>45973</v>
      </c>
      <c r="E207" s="1" t="n">
        <v>46216</v>
      </c>
      <c r="F207" t="inlineStr">
        <is>
          <t>ÖSTERGÖTLANDS LÄN</t>
        </is>
      </c>
      <c r="G207" t="inlineStr">
        <is>
          <t>BOXHOLM</t>
        </is>
      </c>
      <c r="H207" t="inlineStr">
        <is>
          <t>Övriga Aktiebolag</t>
        </is>
      </c>
      <c r="I207" t="n">
        <v>7.1</v>
      </c>
      <c r="J207" t="n">
        <v>0</v>
      </c>
      <c r="K207" t="n">
        <v>0</v>
      </c>
      <c r="L207" t="n">
        <v>0</v>
      </c>
      <c r="M207" t="n">
        <v>0</v>
      </c>
      <c r="N207" t="n">
        <v>0</v>
      </c>
      <c r="O207" t="n">
        <v>0</v>
      </c>
      <c r="P207" t="n">
        <v>0</v>
      </c>
      <c r="Q207" t="n">
        <v>0</v>
      </c>
      <c r="R207" t="n">
        <v>0</v>
      </c>
      <c r="S207" t="n">
        <v>0</v>
      </c>
      <c r="T207" t="n">
        <v>0</v>
      </c>
      <c r="U207" s="2" t="inlineStr"/>
    </row>
    <row r="208" ht="15" customHeight="1">
      <c r="A208" t="inlineStr">
        <is>
          <t>A 16146-2023</t>
        </is>
      </c>
      <c r="B208" t="inlineStr">
        <is>
          <t>avverkningsanmälan</t>
        </is>
      </c>
      <c r="C208" t="inlineStr">
        <is>
          <t>Föryngringsavverkning</t>
        </is>
      </c>
      <c r="D208" s="1" t="n">
        <v>45027</v>
      </c>
      <c r="E208" s="1" t="n">
        <v>46216</v>
      </c>
      <c r="F208" t="inlineStr">
        <is>
          <t>ÖSTERGÖTLANDS LÄN</t>
        </is>
      </c>
      <c r="G208" t="inlineStr">
        <is>
          <t>BOXHOLM</t>
        </is>
      </c>
      <c r="H208" t="inlineStr">
        <is>
          <t>Allmännings- och besparingsskogar</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47333-2024</t>
        </is>
      </c>
      <c r="B209" t="inlineStr">
        <is>
          <t>avverkningsanmälan</t>
        </is>
      </c>
      <c r="C209" t="inlineStr">
        <is>
          <t>Föryngringsavverkning</t>
        </is>
      </c>
      <c r="D209" s="1" t="n">
        <v>45587</v>
      </c>
      <c r="E209" s="1" t="n">
        <v>46216</v>
      </c>
      <c r="F209" t="inlineStr">
        <is>
          <t>ÖSTERGÖTLANDS LÄN</t>
        </is>
      </c>
      <c r="G209" t="inlineStr">
        <is>
          <t>BOXHOLM</t>
        </is>
      </c>
      <c r="H209" t="inlineStr">
        <is>
          <t>Allmännings- och besparingsskogar</t>
        </is>
      </c>
      <c r="I209" t="n">
        <v>4.5</v>
      </c>
      <c r="J209" t="n">
        <v>0</v>
      </c>
      <c r="K209" t="n">
        <v>0</v>
      </c>
      <c r="L209" t="n">
        <v>0</v>
      </c>
      <c r="M209" t="n">
        <v>0</v>
      </c>
      <c r="N209" t="n">
        <v>0</v>
      </c>
      <c r="O209" t="n">
        <v>0</v>
      </c>
      <c r="P209" t="n">
        <v>0</v>
      </c>
      <c r="Q209" t="n">
        <v>0</v>
      </c>
      <c r="R209" t="n">
        <v>0</v>
      </c>
      <c r="S209" t="n">
        <v>0</v>
      </c>
      <c r="T209" t="n">
        <v>0</v>
      </c>
      <c r="U209" s="2" t="inlineStr"/>
    </row>
    <row r="210" ht="15" customHeight="1">
      <c r="A210" t="inlineStr">
        <is>
          <t>A 14789-2026</t>
        </is>
      </c>
      <c r="B210" t="inlineStr">
        <is>
          <t>avverkningsanmälan</t>
        </is>
      </c>
      <c r="C210" t="inlineStr">
        <is>
          <t>Avverkning för att bevara och utveckla /försöksver</t>
        </is>
      </c>
      <c r="D210" s="1" t="n">
        <v>46101</v>
      </c>
      <c r="E210" s="1" t="n">
        <v>46216</v>
      </c>
      <c r="F210" t="inlineStr">
        <is>
          <t>ÖSTERGÖTLANDS LÄN</t>
        </is>
      </c>
      <c r="G210" t="inlineStr">
        <is>
          <t>BOXHOLM</t>
        </is>
      </c>
      <c r="H210" t="inlineStr">
        <is>
          <t>Övriga Aktiebolag</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15502-2023</t>
        </is>
      </c>
      <c r="B211" t="inlineStr">
        <is>
          <t>avverkningsanmälan</t>
        </is>
      </c>
      <c r="C211" t="inlineStr">
        <is>
          <t>Föryngringsavverkning</t>
        </is>
      </c>
      <c r="D211" s="1" t="n">
        <v>45020</v>
      </c>
      <c r="E211" s="1" t="n">
        <v>46216</v>
      </c>
      <c r="F211" t="inlineStr">
        <is>
          <t>ÖSTERGÖTLANDS LÄN</t>
        </is>
      </c>
      <c r="G211" t="inlineStr">
        <is>
          <t>BOXHOLM</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58472-2021</t>
        </is>
      </c>
      <c r="B212" t="inlineStr">
        <is>
          <t>avverkningsanmälan</t>
        </is>
      </c>
      <c r="C212" t="inlineStr">
        <is>
          <t>Föryngringsavverkning</t>
        </is>
      </c>
      <c r="D212" s="1" t="n">
        <v>44488</v>
      </c>
      <c r="E212" s="1" t="n">
        <v>46216</v>
      </c>
      <c r="F212" t="inlineStr">
        <is>
          <t>ÖSTERGÖTLANDS LÄN</t>
        </is>
      </c>
      <c r="G212" t="inlineStr">
        <is>
          <t>BOXHOLM</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6209-2024</t>
        </is>
      </c>
      <c r="B213" t="inlineStr">
        <is>
          <t>avverkningsanmälan</t>
        </is>
      </c>
      <c r="C213" t="inlineStr">
        <is>
          <t>Föryngringsavverkning</t>
        </is>
      </c>
      <c r="D213" s="1" t="n">
        <v>45337</v>
      </c>
      <c r="E213" s="1" t="n">
        <v>46216</v>
      </c>
      <c r="F213" t="inlineStr">
        <is>
          <t>ÖSTERGÖTLANDS LÄN</t>
        </is>
      </c>
      <c r="G213" t="inlineStr">
        <is>
          <t>BOXHOLM</t>
        </is>
      </c>
      <c r="I213" t="n">
        <v>3</v>
      </c>
      <c r="J213" t="n">
        <v>0</v>
      </c>
      <c r="K213" t="n">
        <v>0</v>
      </c>
      <c r="L213" t="n">
        <v>0</v>
      </c>
      <c r="M213" t="n">
        <v>0</v>
      </c>
      <c r="N213" t="n">
        <v>0</v>
      </c>
      <c r="O213" t="n">
        <v>0</v>
      </c>
      <c r="P213" t="n">
        <v>0</v>
      </c>
      <c r="Q213" t="n">
        <v>0</v>
      </c>
      <c r="R213" t="n">
        <v>0</v>
      </c>
      <c r="S213" t="n">
        <v>0</v>
      </c>
      <c r="T213" t="n">
        <v>0</v>
      </c>
      <c r="U213" s="2" t="inlineStr"/>
    </row>
    <row r="214" ht="15" customHeight="1">
      <c r="A214" t="inlineStr">
        <is>
          <t>A 36453-2024</t>
        </is>
      </c>
      <c r="B214" t="inlineStr">
        <is>
          <t>avverkningsanmälan</t>
        </is>
      </c>
      <c r="C214" t="inlineStr">
        <is>
          <t>Avverkning för att bevara och utveckla /försöksver</t>
        </is>
      </c>
      <c r="D214" s="1" t="n">
        <v>45537</v>
      </c>
      <c r="E214" s="1" t="n">
        <v>46216</v>
      </c>
      <c r="F214" t="inlineStr">
        <is>
          <t>ÖSTERGÖTLANDS LÄN</t>
        </is>
      </c>
      <c r="G214" t="inlineStr">
        <is>
          <t>BOXHOLM</t>
        </is>
      </c>
      <c r="H214" t="inlineStr">
        <is>
          <t>Övriga Aktiebolag</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15504-2023</t>
        </is>
      </c>
      <c r="B215" t="inlineStr">
        <is>
          <t>avverkningsanmälan</t>
        </is>
      </c>
      <c r="C215" t="inlineStr">
        <is>
          <t>Föryngringsavverkning</t>
        </is>
      </c>
      <c r="D215" s="1" t="n">
        <v>45020</v>
      </c>
      <c r="E215" s="1" t="n">
        <v>46216</v>
      </c>
      <c r="F215" t="inlineStr">
        <is>
          <t>ÖSTERGÖTLANDS LÄN</t>
        </is>
      </c>
      <c r="G215" t="inlineStr">
        <is>
          <t>BOXHOLM</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61066-2021</t>
        </is>
      </c>
      <c r="B216" t="inlineStr">
        <is>
          <t>avverkningsanmälan</t>
        </is>
      </c>
      <c r="C216" t="inlineStr">
        <is>
          <t>Föryngringsavverkning</t>
        </is>
      </c>
      <c r="D216" s="1" t="n">
        <v>44497</v>
      </c>
      <c r="E216" s="1" t="n">
        <v>46216</v>
      </c>
      <c r="F216" t="inlineStr">
        <is>
          <t>ÖSTERGÖTLANDS LÄN</t>
        </is>
      </c>
      <c r="G216" t="inlineStr">
        <is>
          <t>BOXHOLM</t>
        </is>
      </c>
      <c r="I216" t="n">
        <v>6.9</v>
      </c>
      <c r="J216" t="n">
        <v>0</v>
      </c>
      <c r="K216" t="n">
        <v>0</v>
      </c>
      <c r="L216" t="n">
        <v>0</v>
      </c>
      <c r="M216" t="n">
        <v>0</v>
      </c>
      <c r="N216" t="n">
        <v>0</v>
      </c>
      <c r="O216" t="n">
        <v>0</v>
      </c>
      <c r="P216" t="n">
        <v>0</v>
      </c>
      <c r="Q216" t="n">
        <v>0</v>
      </c>
      <c r="R216" t="n">
        <v>0</v>
      </c>
      <c r="S216" t="n">
        <v>0</v>
      </c>
      <c r="T216" t="n">
        <v>0</v>
      </c>
      <c r="U216" s="2" t="inlineStr"/>
    </row>
    <row r="217" ht="15" customHeight="1">
      <c r="A217" t="inlineStr">
        <is>
          <t>A 41080-2024</t>
        </is>
      </c>
      <c r="B217" t="inlineStr">
        <is>
          <t>avverkningsanmälan</t>
        </is>
      </c>
      <c r="C217" t="inlineStr">
        <is>
          <t>Föryngringsavverkning</t>
        </is>
      </c>
      <c r="D217" s="1" t="n">
        <v>45559</v>
      </c>
      <c r="E217" s="1" t="n">
        <v>46216</v>
      </c>
      <c r="F217" t="inlineStr">
        <is>
          <t>ÖSTERGÖTLANDS LÄN</t>
        </is>
      </c>
      <c r="G217" t="inlineStr">
        <is>
          <t>BOXHOLM</t>
        </is>
      </c>
      <c r="H217" t="inlineStr">
        <is>
          <t>Allmännings- och besparingsskogar</t>
        </is>
      </c>
      <c r="I217" t="n">
        <v>7</v>
      </c>
      <c r="J217" t="n">
        <v>0</v>
      </c>
      <c r="K217" t="n">
        <v>0</v>
      </c>
      <c r="L217" t="n">
        <v>0</v>
      </c>
      <c r="M217" t="n">
        <v>0</v>
      </c>
      <c r="N217" t="n">
        <v>0</v>
      </c>
      <c r="O217" t="n">
        <v>0</v>
      </c>
      <c r="P217" t="n">
        <v>0</v>
      </c>
      <c r="Q217" t="n">
        <v>0</v>
      </c>
      <c r="R217" t="n">
        <v>0</v>
      </c>
      <c r="S217" t="n">
        <v>0</v>
      </c>
      <c r="T217" t="n">
        <v>0</v>
      </c>
      <c r="U217" s="2" t="inlineStr"/>
    </row>
    <row r="218" ht="15" customHeight="1">
      <c r="A218" t="inlineStr">
        <is>
          <t>A 24122-2023</t>
        </is>
      </c>
      <c r="B218" t="inlineStr">
        <is>
          <t>avverkningsanmälan</t>
        </is>
      </c>
      <c r="C218" t="inlineStr">
        <is>
          <t>Föryngringsavverkning</t>
        </is>
      </c>
      <c r="D218" s="1" t="n">
        <v>45079</v>
      </c>
      <c r="E218" s="1" t="n">
        <v>46216</v>
      </c>
      <c r="F218" t="inlineStr">
        <is>
          <t>ÖSTERGÖTLANDS LÄN</t>
        </is>
      </c>
      <c r="G218" t="inlineStr">
        <is>
          <t>BOXHOLM</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4190-2024</t>
        </is>
      </c>
      <c r="B219" t="inlineStr">
        <is>
          <t>avverkningsanmälan</t>
        </is>
      </c>
      <c r="C219" t="inlineStr">
        <is>
          <t>Föryngringsavverkning</t>
        </is>
      </c>
      <c r="D219" s="1" t="n">
        <v>45324</v>
      </c>
      <c r="E219" s="1" t="n">
        <v>46216</v>
      </c>
      <c r="F219" t="inlineStr">
        <is>
          <t>ÖSTERGÖTLANDS LÄN</t>
        </is>
      </c>
      <c r="G219" t="inlineStr">
        <is>
          <t>BOXHOLM</t>
        </is>
      </c>
      <c r="H219" t="inlineStr">
        <is>
          <t>Övriga Aktiebolag</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39486-2024</t>
        </is>
      </c>
      <c r="B220" t="inlineStr">
        <is>
          <t>avverkningsanmälan</t>
        </is>
      </c>
      <c r="C220" t="inlineStr">
        <is>
          <t>Föryngringsavverkning</t>
        </is>
      </c>
      <c r="D220" s="1" t="n">
        <v>45551</v>
      </c>
      <c r="E220" s="1" t="n">
        <v>46216</v>
      </c>
      <c r="F220" t="inlineStr">
        <is>
          <t>ÖSTERGÖTLANDS LÄN</t>
        </is>
      </c>
      <c r="G220" t="inlineStr">
        <is>
          <t>BOXHOLM</t>
        </is>
      </c>
      <c r="H220" t="inlineStr">
        <is>
          <t>Allmännings- och besparingsskogar</t>
        </is>
      </c>
      <c r="I220" t="n">
        <v>6</v>
      </c>
      <c r="J220" t="n">
        <v>0</v>
      </c>
      <c r="K220" t="n">
        <v>0</v>
      </c>
      <c r="L220" t="n">
        <v>0</v>
      </c>
      <c r="M220" t="n">
        <v>0</v>
      </c>
      <c r="N220" t="n">
        <v>0</v>
      </c>
      <c r="O220" t="n">
        <v>0</v>
      </c>
      <c r="P220" t="n">
        <v>0</v>
      </c>
      <c r="Q220" t="n">
        <v>0</v>
      </c>
      <c r="R220" t="n">
        <v>0</v>
      </c>
      <c r="S220" t="n">
        <v>0</v>
      </c>
      <c r="T220" t="n">
        <v>0</v>
      </c>
      <c r="U220" s="2" t="inlineStr"/>
    </row>
    <row r="221" ht="15" customHeight="1">
      <c r="A221" t="inlineStr">
        <is>
          <t>A 35091-2023</t>
        </is>
      </c>
      <c r="B221" t="inlineStr">
        <is>
          <t>avverkningsanmälan</t>
        </is>
      </c>
      <c r="C221" t="inlineStr">
        <is>
          <t>Föryngringsavverkning</t>
        </is>
      </c>
      <c r="D221" s="1" t="n">
        <v>45145</v>
      </c>
      <c r="E221" s="1" t="n">
        <v>46216</v>
      </c>
      <c r="F221" t="inlineStr">
        <is>
          <t>ÖSTERGÖTLANDS LÄN</t>
        </is>
      </c>
      <c r="G221" t="inlineStr">
        <is>
          <t>BOXHOLM</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53342-2024</t>
        </is>
      </c>
      <c r="B222" t="inlineStr">
        <is>
          <t>avverkningsanmälan</t>
        </is>
      </c>
      <c r="C222" t="inlineStr">
        <is>
          <t>Föryngringsavverkning</t>
        </is>
      </c>
      <c r="D222" s="1" t="n">
        <v>45614</v>
      </c>
      <c r="E222" s="1" t="n">
        <v>46216</v>
      </c>
      <c r="F222" t="inlineStr">
        <is>
          <t>ÖSTERGÖTLANDS LÄN</t>
        </is>
      </c>
      <c r="G222" t="inlineStr">
        <is>
          <t>BOXHOLM</t>
        </is>
      </c>
      <c r="H222" t="inlineStr">
        <is>
          <t>Övriga Aktiebolag</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15420-2025</t>
        </is>
      </c>
      <c r="B223" t="inlineStr">
        <is>
          <t>avverkningsanmälan</t>
        </is>
      </c>
      <c r="C223" t="inlineStr">
        <is>
          <t>Avverkning för att bevara och utveckla /försöksver</t>
        </is>
      </c>
      <c r="D223" s="1" t="n">
        <v>45747</v>
      </c>
      <c r="E223" s="1" t="n">
        <v>46216</v>
      </c>
      <c r="F223" t="inlineStr">
        <is>
          <t>ÖSTERGÖTLANDS LÄN</t>
        </is>
      </c>
      <c r="G223" t="inlineStr">
        <is>
          <t>BOXHOLM</t>
        </is>
      </c>
      <c r="H223" t="inlineStr">
        <is>
          <t>Övriga Aktiebolag</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14628-2023</t>
        </is>
      </c>
      <c r="B224" t="inlineStr">
        <is>
          <t>avverkningsanmälan</t>
        </is>
      </c>
      <c r="C224" t="inlineStr">
        <is>
          <t>Föryngringsavverkning</t>
        </is>
      </c>
      <c r="D224" s="1" t="n">
        <v>45013</v>
      </c>
      <c r="E224" s="1" t="n">
        <v>46216</v>
      </c>
      <c r="F224" t="inlineStr">
        <is>
          <t>ÖSTERGÖTLANDS LÄN</t>
        </is>
      </c>
      <c r="G224" t="inlineStr">
        <is>
          <t>BOXHOLM</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39693-2024</t>
        </is>
      </c>
      <c r="B225" t="inlineStr">
        <is>
          <t>avverkningsanmälan</t>
        </is>
      </c>
      <c r="C225" t="inlineStr">
        <is>
          <t>Föryngringsavverkning</t>
        </is>
      </c>
      <c r="D225" s="1" t="n">
        <v>45552</v>
      </c>
      <c r="E225" s="1" t="n">
        <v>46216</v>
      </c>
      <c r="F225" t="inlineStr">
        <is>
          <t>ÖSTERGÖTLANDS LÄN</t>
        </is>
      </c>
      <c r="G225" t="inlineStr">
        <is>
          <t>BOXHOLM</t>
        </is>
      </c>
      <c r="H225" t="inlineStr">
        <is>
          <t>Allmännings- och besparingsskogar</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9115-2023</t>
        </is>
      </c>
      <c r="B226" t="inlineStr">
        <is>
          <t>avverkningsanmälan</t>
        </is>
      </c>
      <c r="C226" t="inlineStr">
        <is>
          <t>Föryngringsavverkning</t>
        </is>
      </c>
      <c r="D226" s="1" t="n">
        <v>44980</v>
      </c>
      <c r="E226" s="1" t="n">
        <v>46216</v>
      </c>
      <c r="F226" t="inlineStr">
        <is>
          <t>ÖSTERGÖTLANDS LÄN</t>
        </is>
      </c>
      <c r="G226" t="inlineStr">
        <is>
          <t>BOXHOLM</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25470-2026</t>
        </is>
      </c>
      <c r="B227" t="inlineStr">
        <is>
          <t>avverkningsanmälan</t>
        </is>
      </c>
      <c r="C227" t="inlineStr">
        <is>
          <t>Föryngringsavverkning</t>
        </is>
      </c>
      <c r="D227" s="1" t="n">
        <v>46177</v>
      </c>
      <c r="E227" s="1" t="n">
        <v>46216</v>
      </c>
      <c r="F227" t="inlineStr">
        <is>
          <t>ÖSTERGÖTLANDS LÄN</t>
        </is>
      </c>
      <c r="G227" t="inlineStr">
        <is>
          <t>BOXHOLM</t>
        </is>
      </c>
      <c r="H227" t="inlineStr">
        <is>
          <t>Kyrkan</t>
        </is>
      </c>
      <c r="I227" t="n">
        <v>13.8</v>
      </c>
      <c r="J227" t="n">
        <v>0</v>
      </c>
      <c r="K227" t="n">
        <v>0</v>
      </c>
      <c r="L227" t="n">
        <v>0</v>
      </c>
      <c r="M227" t="n">
        <v>0</v>
      </c>
      <c r="N227" t="n">
        <v>0</v>
      </c>
      <c r="O227" t="n">
        <v>0</v>
      </c>
      <c r="P227" t="n">
        <v>0</v>
      </c>
      <c r="Q227" t="n">
        <v>0</v>
      </c>
      <c r="R227" t="n">
        <v>0</v>
      </c>
      <c r="S227" t="n">
        <v>0</v>
      </c>
      <c r="T227" t="n">
        <v>0</v>
      </c>
      <c r="U227" s="2" t="inlineStr"/>
    </row>
    <row r="228" ht="15" customHeight="1">
      <c r="A228" t="inlineStr">
        <is>
          <t>A 59779-2022</t>
        </is>
      </c>
      <c r="B228" t="inlineStr">
        <is>
          <t>avverkningsanmälan</t>
        </is>
      </c>
      <c r="C228" t="inlineStr">
        <is>
          <t>Föryngringsavverkning</t>
        </is>
      </c>
      <c r="D228" s="1" t="n">
        <v>44908</v>
      </c>
      <c r="E228" s="1" t="n">
        <v>46216</v>
      </c>
      <c r="F228" t="inlineStr">
        <is>
          <t>ÖSTERGÖTLANDS LÄN</t>
        </is>
      </c>
      <c r="G228" t="inlineStr">
        <is>
          <t>BOXHOLM</t>
        </is>
      </c>
      <c r="H228" t="inlineStr">
        <is>
          <t>Övriga Aktiebolag</t>
        </is>
      </c>
      <c r="I228" t="n">
        <v>4.1</v>
      </c>
      <c r="J228" t="n">
        <v>0</v>
      </c>
      <c r="K228" t="n">
        <v>0</v>
      </c>
      <c r="L228" t="n">
        <v>0</v>
      </c>
      <c r="M228" t="n">
        <v>0</v>
      </c>
      <c r="N228" t="n">
        <v>0</v>
      </c>
      <c r="O228" t="n">
        <v>0</v>
      </c>
      <c r="P228" t="n">
        <v>0</v>
      </c>
      <c r="Q228" t="n">
        <v>0</v>
      </c>
      <c r="R228" t="n">
        <v>0</v>
      </c>
      <c r="S228" t="n">
        <v>0</v>
      </c>
      <c r="T228" t="n">
        <v>0</v>
      </c>
      <c r="U228" s="2" t="inlineStr"/>
    </row>
    <row r="229" ht="15" customHeight="1">
      <c r="A229" t="inlineStr">
        <is>
          <t>A 22856-2023</t>
        </is>
      </c>
      <c r="B229" t="inlineStr">
        <is>
          <t>avverkningsanmälan</t>
        </is>
      </c>
      <c r="C229" t="inlineStr">
        <is>
          <t>Föryngringsavverkning</t>
        </is>
      </c>
      <c r="D229" s="1" t="n">
        <v>45072</v>
      </c>
      <c r="E229" s="1" t="n">
        <v>46216</v>
      </c>
      <c r="F229" t="inlineStr">
        <is>
          <t>ÖSTERGÖTLANDS LÄN</t>
        </is>
      </c>
      <c r="G229" t="inlineStr">
        <is>
          <t>BOXHOLM</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15500-2023</t>
        </is>
      </c>
      <c r="B230" t="inlineStr">
        <is>
          <t>avverkningsanmälan</t>
        </is>
      </c>
      <c r="C230" t="inlineStr">
        <is>
          <t>Föryngringsavverkning</t>
        </is>
      </c>
      <c r="D230" s="1" t="n">
        <v>45020</v>
      </c>
      <c r="E230" s="1" t="n">
        <v>46216</v>
      </c>
      <c r="F230" t="inlineStr">
        <is>
          <t>ÖSTERGÖTLANDS LÄN</t>
        </is>
      </c>
      <c r="G230" t="inlineStr">
        <is>
          <t>BOXHOLM</t>
        </is>
      </c>
      <c r="I230" t="n">
        <v>0</v>
      </c>
      <c r="J230" t="n">
        <v>0</v>
      </c>
      <c r="K230" t="n">
        <v>0</v>
      </c>
      <c r="L230" t="n">
        <v>0</v>
      </c>
      <c r="M230" t="n">
        <v>0</v>
      </c>
      <c r="N230" t="n">
        <v>0</v>
      </c>
      <c r="O230" t="n">
        <v>0</v>
      </c>
      <c r="P230" t="n">
        <v>0</v>
      </c>
      <c r="Q230" t="n">
        <v>0</v>
      </c>
      <c r="R230" t="n">
        <v>0</v>
      </c>
      <c r="S230" t="n">
        <v>0</v>
      </c>
      <c r="T230" t="n">
        <v>0</v>
      </c>
      <c r="U230" s="2" t="inlineStr"/>
    </row>
    <row r="231" ht="15" customHeight="1">
      <c r="A231" t="inlineStr">
        <is>
          <t>A 957-2024</t>
        </is>
      </c>
      <c r="B231" t="inlineStr">
        <is>
          <t>avverkningsanmälan</t>
        </is>
      </c>
      <c r="C231" t="inlineStr">
        <is>
          <t>Föryngringsavverkning</t>
        </is>
      </c>
      <c r="D231" s="1" t="n">
        <v>45301</v>
      </c>
      <c r="E231" s="1" t="n">
        <v>46216</v>
      </c>
      <c r="F231" t="inlineStr">
        <is>
          <t>ÖSTERGÖTLANDS LÄN</t>
        </is>
      </c>
      <c r="G231" t="inlineStr">
        <is>
          <t>BOXHOLM</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7061-2024</t>
        </is>
      </c>
      <c r="B232" t="inlineStr">
        <is>
          <t>avverkningsanmälan</t>
        </is>
      </c>
      <c r="C232" t="inlineStr">
        <is>
          <t>Föryngringsavverkning</t>
        </is>
      </c>
      <c r="D232" s="1" t="n">
        <v>45343</v>
      </c>
      <c r="E232" s="1" t="n">
        <v>46216</v>
      </c>
      <c r="F232" t="inlineStr">
        <is>
          <t>ÖSTERGÖTLANDS LÄN</t>
        </is>
      </c>
      <c r="G232" t="inlineStr">
        <is>
          <t>BOXHOLM</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19561-2024</t>
        </is>
      </c>
      <c r="B233" t="inlineStr">
        <is>
          <t>avverkningsanmälan</t>
        </is>
      </c>
      <c r="C233" t="inlineStr">
        <is>
          <t>Föryngringsavverkning</t>
        </is>
      </c>
      <c r="D233" s="1" t="n">
        <v>45429</v>
      </c>
      <c r="E233" s="1" t="n">
        <v>46216</v>
      </c>
      <c r="F233" t="inlineStr">
        <is>
          <t>ÖSTERGÖTLANDS LÄN</t>
        </is>
      </c>
      <c r="G233" t="inlineStr">
        <is>
          <t>BOXHOLM</t>
        </is>
      </c>
      <c r="I233" t="n">
        <v>5.5</v>
      </c>
      <c r="J233" t="n">
        <v>0</v>
      </c>
      <c r="K233" t="n">
        <v>0</v>
      </c>
      <c r="L233" t="n">
        <v>0</v>
      </c>
      <c r="M233" t="n">
        <v>0</v>
      </c>
      <c r="N233" t="n">
        <v>0</v>
      </c>
      <c r="O233" t="n">
        <v>0</v>
      </c>
      <c r="P233" t="n">
        <v>0</v>
      </c>
      <c r="Q233" t="n">
        <v>0</v>
      </c>
      <c r="R233" t="n">
        <v>0</v>
      </c>
      <c r="S233" t="n">
        <v>0</v>
      </c>
      <c r="T233" t="n">
        <v>0</v>
      </c>
      <c r="U233" s="2" t="inlineStr"/>
    </row>
    <row r="234" ht="15" customHeight="1">
      <c r="A234" t="inlineStr">
        <is>
          <t>A 46237-2024</t>
        </is>
      </c>
      <c r="B234" t="inlineStr">
        <is>
          <t>avverkningsanmälan</t>
        </is>
      </c>
      <c r="C234" t="inlineStr">
        <is>
          <t>Föryngringsavverkning</t>
        </is>
      </c>
      <c r="D234" s="1" t="n">
        <v>45581</v>
      </c>
      <c r="E234" s="1" t="n">
        <v>46216</v>
      </c>
      <c r="F234" t="inlineStr">
        <is>
          <t>ÖSTERGÖTLANDS LÄN</t>
        </is>
      </c>
      <c r="G234" t="inlineStr">
        <is>
          <t>BOXHOLM</t>
        </is>
      </c>
      <c r="I234" t="n">
        <v>6.2</v>
      </c>
      <c r="J234" t="n">
        <v>0</v>
      </c>
      <c r="K234" t="n">
        <v>0</v>
      </c>
      <c r="L234" t="n">
        <v>0</v>
      </c>
      <c r="M234" t="n">
        <v>0</v>
      </c>
      <c r="N234" t="n">
        <v>0</v>
      </c>
      <c r="O234" t="n">
        <v>0</v>
      </c>
      <c r="P234" t="n">
        <v>0</v>
      </c>
      <c r="Q234" t="n">
        <v>0</v>
      </c>
      <c r="R234" t="n">
        <v>0</v>
      </c>
      <c r="S234" t="n">
        <v>0</v>
      </c>
      <c r="T234" t="n">
        <v>0</v>
      </c>
      <c r="U234" s="2" t="inlineStr"/>
    </row>
    <row r="235" ht="15" customHeight="1">
      <c r="A235" t="inlineStr">
        <is>
          <t>A 25254-2023</t>
        </is>
      </c>
      <c r="B235" t="inlineStr">
        <is>
          <t>avverkningsanmälan</t>
        </is>
      </c>
      <c r="C235" t="inlineStr">
        <is>
          <t>Föryngringsavverkning</t>
        </is>
      </c>
      <c r="D235" s="1" t="n">
        <v>45086</v>
      </c>
      <c r="E235" s="1" t="n">
        <v>46216</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49119-2025</t>
        </is>
      </c>
      <c r="B236" t="inlineStr">
        <is>
          <t>avverkningsanmälan</t>
        </is>
      </c>
      <c r="C236" t="inlineStr">
        <is>
          <t>Föryngringsavverkning</t>
        </is>
      </c>
      <c r="D236" s="1" t="n">
        <v>45937</v>
      </c>
      <c r="E236" s="1" t="n">
        <v>46216</v>
      </c>
      <c r="F236" t="inlineStr">
        <is>
          <t>ÖSTERGÖTLANDS LÄN</t>
        </is>
      </c>
      <c r="G236" t="inlineStr">
        <is>
          <t>BOXHOLM</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51625-2022</t>
        </is>
      </c>
      <c r="B237" t="inlineStr">
        <is>
          <t>avverkningsanmälan</t>
        </is>
      </c>
      <c r="C237" t="inlineStr">
        <is>
          <t>Föryngringsavverkning</t>
        </is>
      </c>
      <c r="D237" s="1" t="n">
        <v>44872</v>
      </c>
      <c r="E237" s="1" t="n">
        <v>46216</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37578-2022</t>
        </is>
      </c>
      <c r="B238" t="inlineStr">
        <is>
          <t>avverkningsanmälan</t>
        </is>
      </c>
      <c r="C238" t="inlineStr">
        <is>
          <t>Föryngringsavverkning</t>
        </is>
      </c>
      <c r="D238" s="1" t="n">
        <v>44809</v>
      </c>
      <c r="E238" s="1" t="n">
        <v>46216</v>
      </c>
      <c r="F238" t="inlineStr">
        <is>
          <t>ÖSTERGÖTLANDS LÄN</t>
        </is>
      </c>
      <c r="G238" t="inlineStr">
        <is>
          <t>BOXHOLM</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39035-2023</t>
        </is>
      </c>
      <c r="B239" t="inlineStr">
        <is>
          <t>avverkningsanmälan</t>
        </is>
      </c>
      <c r="C239" t="inlineStr">
        <is>
          <t>Föryngringsavverkning</t>
        </is>
      </c>
      <c r="D239" s="1" t="n">
        <v>45163</v>
      </c>
      <c r="E239" s="1" t="n">
        <v>46216</v>
      </c>
      <c r="F239" t="inlineStr">
        <is>
          <t>ÖSTERGÖTLANDS LÄN</t>
        </is>
      </c>
      <c r="G239" t="inlineStr">
        <is>
          <t>BOXHOLM</t>
        </is>
      </c>
      <c r="H239" t="inlineStr">
        <is>
          <t>Allmännings- och besparingsskogar</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55181-2022</t>
        </is>
      </c>
      <c r="B240" t="inlineStr">
        <is>
          <t>avverkningsanmälan</t>
        </is>
      </c>
      <c r="C240" t="inlineStr">
        <is>
          <t>Föryngringsavverkning</t>
        </is>
      </c>
      <c r="D240" s="1" t="n">
        <v>44886</v>
      </c>
      <c r="E240" s="1" t="n">
        <v>46216</v>
      </c>
      <c r="F240" t="inlineStr">
        <is>
          <t>ÖSTERGÖTLANDS LÄN</t>
        </is>
      </c>
      <c r="G240" t="inlineStr">
        <is>
          <t>BOXHOLM</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55183-2022</t>
        </is>
      </c>
      <c r="B241" t="inlineStr">
        <is>
          <t>avverkningsanmälan</t>
        </is>
      </c>
      <c r="C241" t="inlineStr">
        <is>
          <t>Föryngringsavverkning</t>
        </is>
      </c>
      <c r="D241" s="1" t="n">
        <v>44886</v>
      </c>
      <c r="E241" s="1" t="n">
        <v>46216</v>
      </c>
      <c r="F241" t="inlineStr">
        <is>
          <t>ÖSTERGÖTLANDS LÄN</t>
        </is>
      </c>
      <c r="G241" t="inlineStr">
        <is>
          <t>BOXHOLM</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55252-2022</t>
        </is>
      </c>
      <c r="B242" t="inlineStr">
        <is>
          <t>avverkningsanmälan</t>
        </is>
      </c>
      <c r="C242" t="inlineStr">
        <is>
          <t>Föryngringsavverkning</t>
        </is>
      </c>
      <c r="D242" s="1" t="n">
        <v>44887</v>
      </c>
      <c r="E242" s="1" t="n">
        <v>46216</v>
      </c>
      <c r="F242" t="inlineStr">
        <is>
          <t>ÖSTERGÖTLANDS LÄN</t>
        </is>
      </c>
      <c r="G242" t="inlineStr">
        <is>
          <t>BOXHOLM</t>
        </is>
      </c>
      <c r="H242" t="inlineStr">
        <is>
          <t>Övriga Aktiebolag</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19129-2025</t>
        </is>
      </c>
      <c r="B243" t="inlineStr">
        <is>
          <t>avverkningsanmälan</t>
        </is>
      </c>
      <c r="C243" t="inlineStr">
        <is>
          <t>Föryngringsavverkning</t>
        </is>
      </c>
      <c r="D243" s="1" t="n">
        <v>45769</v>
      </c>
      <c r="E243" s="1" t="n">
        <v>46216</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s="2" t="inlineStr"/>
    </row>
    <row r="244" ht="15" customHeight="1">
      <c r="A244" t="inlineStr">
        <is>
          <t>A 65333-2021</t>
        </is>
      </c>
      <c r="B244" t="inlineStr">
        <is>
          <t>avverkningsanmälan</t>
        </is>
      </c>
      <c r="C244" t="inlineStr">
        <is>
          <t>Föryngringsavverkning</t>
        </is>
      </c>
      <c r="D244" s="1" t="n">
        <v>44515</v>
      </c>
      <c r="E244" s="1" t="n">
        <v>46216</v>
      </c>
      <c r="F244" t="inlineStr">
        <is>
          <t>ÖSTERGÖTLANDS LÄN</t>
        </is>
      </c>
      <c r="G244" t="inlineStr">
        <is>
          <t>BOXHOLM</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50026-2025</t>
        </is>
      </c>
      <c r="B245" t="inlineStr">
        <is>
          <t>avverkningsanmälan</t>
        </is>
      </c>
      <c r="C245" t="inlineStr">
        <is>
          <t>Avverkning för att bevara och utveckla /försöksver</t>
        </is>
      </c>
      <c r="D245" s="1" t="n">
        <v>45943</v>
      </c>
      <c r="E245" s="1" t="n">
        <v>46216</v>
      </c>
      <c r="F245" t="inlineStr">
        <is>
          <t>ÖSTERGÖTLANDS LÄN</t>
        </is>
      </c>
      <c r="G245" t="inlineStr">
        <is>
          <t>BOXHOLM</t>
        </is>
      </c>
      <c r="H245" t="inlineStr">
        <is>
          <t>Övriga Aktiebolag</t>
        </is>
      </c>
      <c r="I245" t="n">
        <v>2</v>
      </c>
      <c r="J245" t="n">
        <v>0</v>
      </c>
      <c r="K245" t="n">
        <v>0</v>
      </c>
      <c r="L245" t="n">
        <v>0</v>
      </c>
      <c r="M245" t="n">
        <v>0</v>
      </c>
      <c r="N245" t="n">
        <v>0</v>
      </c>
      <c r="O245" t="n">
        <v>0</v>
      </c>
      <c r="P245" t="n">
        <v>0</v>
      </c>
      <c r="Q245" t="n">
        <v>0</v>
      </c>
      <c r="R245" t="n">
        <v>0</v>
      </c>
      <c r="S245" t="n">
        <v>0</v>
      </c>
      <c r="T245" t="n">
        <v>0</v>
      </c>
      <c r="U245" s="2" t="inlineStr"/>
    </row>
    <row r="246" ht="15" customHeight="1">
      <c r="A246" t="inlineStr">
        <is>
          <t>A 57132-2024</t>
        </is>
      </c>
      <c r="B246" t="inlineStr">
        <is>
          <t>avverkningsanmälan</t>
        </is>
      </c>
      <c r="C246" t="inlineStr">
        <is>
          <t>Avverkning för att bevara och utveckla /försöksver</t>
        </is>
      </c>
      <c r="D246" s="1" t="n">
        <v>45629</v>
      </c>
      <c r="E246" s="1" t="n">
        <v>46216</v>
      </c>
      <c r="F246" t="inlineStr">
        <is>
          <t>ÖSTERGÖTLANDS LÄN</t>
        </is>
      </c>
      <c r="G246" t="inlineStr">
        <is>
          <t>BOXHOLM</t>
        </is>
      </c>
      <c r="H246" t="inlineStr">
        <is>
          <t>Övriga Aktiebolag</t>
        </is>
      </c>
      <c r="I246" t="n">
        <v>7</v>
      </c>
      <c r="J246" t="n">
        <v>0</v>
      </c>
      <c r="K246" t="n">
        <v>0</v>
      </c>
      <c r="L246" t="n">
        <v>0</v>
      </c>
      <c r="M246" t="n">
        <v>0</v>
      </c>
      <c r="N246" t="n">
        <v>0</v>
      </c>
      <c r="O246" t="n">
        <v>0</v>
      </c>
      <c r="P246" t="n">
        <v>0</v>
      </c>
      <c r="Q246" t="n">
        <v>0</v>
      </c>
      <c r="R246" t="n">
        <v>0</v>
      </c>
      <c r="S246" t="n">
        <v>0</v>
      </c>
      <c r="T246" t="n">
        <v>0</v>
      </c>
      <c r="U246" s="2" t="inlineStr"/>
    </row>
    <row r="247" ht="15" customHeight="1">
      <c r="A247" t="inlineStr">
        <is>
          <t>A 45859-2024</t>
        </is>
      </c>
      <c r="B247" t="inlineStr">
        <is>
          <t>avverkningsanmälan</t>
        </is>
      </c>
      <c r="C247" t="inlineStr">
        <is>
          <t>Föryngringsavverkning</t>
        </is>
      </c>
      <c r="D247" s="1" t="n">
        <v>45580</v>
      </c>
      <c r="E247" s="1" t="n">
        <v>46216</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58738-2025</t>
        </is>
      </c>
      <c r="B248" t="inlineStr">
        <is>
          <t>avverkningsanmälan</t>
        </is>
      </c>
      <c r="C248" t="inlineStr">
        <is>
          <t>Föryngringsavverkning</t>
        </is>
      </c>
      <c r="D248" s="1" t="n">
        <v>45986</v>
      </c>
      <c r="E248" s="1" t="n">
        <v>46216</v>
      </c>
      <c r="F248" t="inlineStr">
        <is>
          <t>ÖSTERGÖTLANDS LÄN</t>
        </is>
      </c>
      <c r="G248" t="inlineStr">
        <is>
          <t>BOXHOLM</t>
        </is>
      </c>
      <c r="H248" t="inlineStr">
        <is>
          <t>Allmännings- och besparingsskogar</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21436-2025</t>
        </is>
      </c>
      <c r="B249" t="inlineStr">
        <is>
          <t>avverkningsanmälan</t>
        </is>
      </c>
      <c r="C249" t="inlineStr">
        <is>
          <t>Föryngringsavverkning</t>
        </is>
      </c>
      <c r="D249" s="1" t="n">
        <v>45782</v>
      </c>
      <c r="E249" s="1" t="n">
        <v>46216</v>
      </c>
      <c r="F249" t="inlineStr">
        <is>
          <t>ÖSTERGÖTLANDS LÄN</t>
        </is>
      </c>
      <c r="G249" t="inlineStr">
        <is>
          <t>BOXHOLM</t>
        </is>
      </c>
      <c r="I249" t="n">
        <v>4.1</v>
      </c>
      <c r="J249" t="n">
        <v>0</v>
      </c>
      <c r="K249" t="n">
        <v>0</v>
      </c>
      <c r="L249" t="n">
        <v>0</v>
      </c>
      <c r="M249" t="n">
        <v>0</v>
      </c>
      <c r="N249" t="n">
        <v>0</v>
      </c>
      <c r="O249" t="n">
        <v>0</v>
      </c>
      <c r="P249" t="n">
        <v>0</v>
      </c>
      <c r="Q249" t="n">
        <v>0</v>
      </c>
      <c r="R249" t="n">
        <v>0</v>
      </c>
      <c r="S249" t="n">
        <v>0</v>
      </c>
      <c r="T249" t="n">
        <v>0</v>
      </c>
      <c r="U249" s="2" t="inlineStr"/>
    </row>
    <row r="250" ht="15" customHeight="1">
      <c r="A250" t="inlineStr">
        <is>
          <t>A 25892-2026</t>
        </is>
      </c>
      <c r="B250" t="inlineStr">
        <is>
          <t>avverkningsanmälan</t>
        </is>
      </c>
      <c r="C250" t="inlineStr">
        <is>
          <t>Föryngringsavverkning</t>
        </is>
      </c>
      <c r="D250" s="1" t="n">
        <v>46178</v>
      </c>
      <c r="E250" s="1" t="n">
        <v>46216</v>
      </c>
      <c r="F250" t="inlineStr">
        <is>
          <t>ÖSTERGÖTLANDS LÄN</t>
        </is>
      </c>
      <c r="G250" t="inlineStr">
        <is>
          <t>BOXHOLM</t>
        </is>
      </c>
      <c r="H250" t="inlineStr">
        <is>
          <t>Övriga Aktiebolag</t>
        </is>
      </c>
      <c r="I250" t="n">
        <v>6.5</v>
      </c>
      <c r="J250" t="n">
        <v>0</v>
      </c>
      <c r="K250" t="n">
        <v>0</v>
      </c>
      <c r="L250" t="n">
        <v>0</v>
      </c>
      <c r="M250" t="n">
        <v>0</v>
      </c>
      <c r="N250" t="n">
        <v>0</v>
      </c>
      <c r="O250" t="n">
        <v>0</v>
      </c>
      <c r="P250" t="n">
        <v>0</v>
      </c>
      <c r="Q250" t="n">
        <v>0</v>
      </c>
      <c r="R250" t="n">
        <v>0</v>
      </c>
      <c r="S250" t="n">
        <v>0</v>
      </c>
      <c r="T250" t="n">
        <v>0</v>
      </c>
      <c r="U250" s="2" t="inlineStr"/>
    </row>
    <row r="251" ht="15" customHeight="1">
      <c r="A251" t="inlineStr">
        <is>
          <t>A 50239-2024</t>
        </is>
      </c>
      <c r="B251" t="inlineStr">
        <is>
          <t>avverkningsanmälan</t>
        </is>
      </c>
      <c r="C251" t="inlineStr">
        <is>
          <t>Avverkning för att bevara och utveckla /försöksver</t>
        </is>
      </c>
      <c r="D251" s="1" t="n">
        <v>45600</v>
      </c>
      <c r="E251" s="1" t="n">
        <v>46216</v>
      </c>
      <c r="F251" t="inlineStr">
        <is>
          <t>ÖSTERGÖTLANDS LÄN</t>
        </is>
      </c>
      <c r="G251" t="inlineStr">
        <is>
          <t>BOXHOLM</t>
        </is>
      </c>
      <c r="H251" t="inlineStr">
        <is>
          <t>Övriga Aktiebolag</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50251-2024</t>
        </is>
      </c>
      <c r="B252" t="inlineStr">
        <is>
          <t>avverkningsanmälan</t>
        </is>
      </c>
      <c r="C252" t="inlineStr">
        <is>
          <t>Avverkning för att bevara och utveckla /försöksver</t>
        </is>
      </c>
      <c r="D252" s="1" t="n">
        <v>45600</v>
      </c>
      <c r="E252" s="1" t="n">
        <v>46216</v>
      </c>
      <c r="F252" t="inlineStr">
        <is>
          <t>ÖSTERGÖTLANDS LÄN</t>
        </is>
      </c>
      <c r="G252" t="inlineStr">
        <is>
          <t>BOXHOLM</t>
        </is>
      </c>
      <c r="H252" t="inlineStr">
        <is>
          <t>Övriga Aktiebolag</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51708-2023</t>
        </is>
      </c>
      <c r="B253" t="inlineStr">
        <is>
          <t>avverkningsanmälan</t>
        </is>
      </c>
      <c r="C253" t="inlineStr">
        <is>
          <t>Föryngringsavverkning</t>
        </is>
      </c>
      <c r="D253" s="1" t="n">
        <v>45222</v>
      </c>
      <c r="E253" s="1" t="n">
        <v>46216</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s="2" t="inlineStr"/>
    </row>
    <row r="254" ht="15" customHeight="1">
      <c r="A254" t="inlineStr">
        <is>
          <t>A 25279-2024</t>
        </is>
      </c>
      <c r="B254" t="inlineStr">
        <is>
          <t>avverkningsanmälan</t>
        </is>
      </c>
      <c r="C254" t="inlineStr">
        <is>
          <t>Avverkning för att bevara och utveckla /försöksver</t>
        </is>
      </c>
      <c r="D254" s="1" t="n">
        <v>45462</v>
      </c>
      <c r="E254" s="1" t="n">
        <v>46216</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31673-2023</t>
        </is>
      </c>
      <c r="B255" t="inlineStr">
        <is>
          <t>avverkningsanmälan</t>
        </is>
      </c>
      <c r="C255" t="inlineStr">
        <is>
          <t>Avverkning för att bevara och utveckla /försöksver</t>
        </is>
      </c>
      <c r="D255" s="1" t="n">
        <v>45117</v>
      </c>
      <c r="E255" s="1" t="n">
        <v>46216</v>
      </c>
      <c r="F255" t="inlineStr">
        <is>
          <t>ÖSTERGÖTLANDS LÄN</t>
        </is>
      </c>
      <c r="G255" t="inlineStr">
        <is>
          <t>BOXHOLM</t>
        </is>
      </c>
      <c r="H255" t="inlineStr">
        <is>
          <t>Övriga Aktiebolag</t>
        </is>
      </c>
      <c r="I255" t="n">
        <v>4.6</v>
      </c>
      <c r="J255" t="n">
        <v>0</v>
      </c>
      <c r="K255" t="n">
        <v>0</v>
      </c>
      <c r="L255" t="n">
        <v>0</v>
      </c>
      <c r="M255" t="n">
        <v>0</v>
      </c>
      <c r="N255" t="n">
        <v>0</v>
      </c>
      <c r="O255" t="n">
        <v>0</v>
      </c>
      <c r="P255" t="n">
        <v>0</v>
      </c>
      <c r="Q255" t="n">
        <v>0</v>
      </c>
      <c r="R255" t="n">
        <v>0</v>
      </c>
      <c r="S255" t="n">
        <v>0</v>
      </c>
      <c r="T255" t="n">
        <v>0</v>
      </c>
      <c r="U255" s="2" t="inlineStr"/>
    </row>
    <row r="256" ht="15" customHeight="1">
      <c r="A256" t="inlineStr">
        <is>
          <t>A 23834-2023</t>
        </is>
      </c>
      <c r="B256" t="inlineStr">
        <is>
          <t>avverkningsanmälan</t>
        </is>
      </c>
      <c r="C256" t="inlineStr">
        <is>
          <t>Föryngringsavverkning</t>
        </is>
      </c>
      <c r="D256" s="1" t="n">
        <v>45078</v>
      </c>
      <c r="E256" s="1" t="n">
        <v>46216</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48373-2022</t>
        </is>
      </c>
      <c r="B257" t="inlineStr">
        <is>
          <t>avverkningsanmälan</t>
        </is>
      </c>
      <c r="C257" t="inlineStr">
        <is>
          <t>Föryngringsavverkning</t>
        </is>
      </c>
      <c r="D257" s="1" t="n">
        <v>44858</v>
      </c>
      <c r="E257" s="1" t="n">
        <v>46216</v>
      </c>
      <c r="F257" t="inlineStr">
        <is>
          <t>ÖSTERGÖTLANDS LÄN</t>
        </is>
      </c>
      <c r="G257" t="inlineStr">
        <is>
          <t>BOXHOLM</t>
        </is>
      </c>
      <c r="H257" t="inlineStr">
        <is>
          <t>Övriga Aktiebolag</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13993-2022</t>
        </is>
      </c>
      <c r="B258" t="inlineStr">
        <is>
          <t>avverkningsanmälan</t>
        </is>
      </c>
      <c r="C258" t="inlineStr">
        <is>
          <t>Föryngringsavverkning</t>
        </is>
      </c>
      <c r="D258" s="1" t="n">
        <v>44650</v>
      </c>
      <c r="E258" s="1" t="n">
        <v>46216</v>
      </c>
      <c r="F258" t="inlineStr">
        <is>
          <t>ÖSTERGÖTLANDS LÄN</t>
        </is>
      </c>
      <c r="G258" t="inlineStr">
        <is>
          <t>BOXHOLM</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42383-2022</t>
        </is>
      </c>
      <c r="B259" t="inlineStr">
        <is>
          <t>avverkningsanmälan</t>
        </is>
      </c>
      <c r="C259" t="inlineStr">
        <is>
          <t>Föryngringsavverkning</t>
        </is>
      </c>
      <c r="D259" s="1" t="n">
        <v>44831</v>
      </c>
      <c r="E259" s="1" t="n">
        <v>46216</v>
      </c>
      <c r="F259" t="inlineStr">
        <is>
          <t>ÖSTERGÖTLANDS LÄN</t>
        </is>
      </c>
      <c r="G259" t="inlineStr">
        <is>
          <t>BOXHOLM</t>
        </is>
      </c>
      <c r="H259" t="inlineStr">
        <is>
          <t>Övriga Aktiebolag</t>
        </is>
      </c>
      <c r="I259" t="n">
        <v>3.1</v>
      </c>
      <c r="J259" t="n">
        <v>0</v>
      </c>
      <c r="K259" t="n">
        <v>0</v>
      </c>
      <c r="L259" t="n">
        <v>0</v>
      </c>
      <c r="M259" t="n">
        <v>0</v>
      </c>
      <c r="N259" t="n">
        <v>0</v>
      </c>
      <c r="O259" t="n">
        <v>0</v>
      </c>
      <c r="P259" t="n">
        <v>0</v>
      </c>
      <c r="Q259" t="n">
        <v>0</v>
      </c>
      <c r="R259" t="n">
        <v>0</v>
      </c>
      <c r="S259" t="n">
        <v>0</v>
      </c>
      <c r="T259" t="n">
        <v>0</v>
      </c>
      <c r="U259" s="2" t="inlineStr"/>
    </row>
    <row r="260" ht="15" customHeight="1">
      <c r="A260" t="inlineStr">
        <is>
          <t>A 27485-2026</t>
        </is>
      </c>
      <c r="B260" t="inlineStr">
        <is>
          <t>avverkningsanmälan</t>
        </is>
      </c>
      <c r="C260" t="inlineStr">
        <is>
          <t>Avverkning för att bevara och utveckla /försöksver</t>
        </is>
      </c>
      <c r="D260" s="1" t="n">
        <v>46189</v>
      </c>
      <c r="E260" s="1" t="n">
        <v>46216</v>
      </c>
      <c r="F260" t="inlineStr">
        <is>
          <t>ÖSTERGÖTLANDS LÄN</t>
        </is>
      </c>
      <c r="G260" t="inlineStr">
        <is>
          <t>BOXHOLM</t>
        </is>
      </c>
      <c r="H260" t="inlineStr">
        <is>
          <t>Övriga Aktiebolag</t>
        </is>
      </c>
      <c r="I260" t="n">
        <v>4.7</v>
      </c>
      <c r="J260" t="n">
        <v>0</v>
      </c>
      <c r="K260" t="n">
        <v>0</v>
      </c>
      <c r="L260" t="n">
        <v>0</v>
      </c>
      <c r="M260" t="n">
        <v>0</v>
      </c>
      <c r="N260" t="n">
        <v>0</v>
      </c>
      <c r="O260" t="n">
        <v>0</v>
      </c>
      <c r="P260" t="n">
        <v>0</v>
      </c>
      <c r="Q260" t="n">
        <v>0</v>
      </c>
      <c r="R260" t="n">
        <v>0</v>
      </c>
      <c r="S260" t="n">
        <v>0</v>
      </c>
      <c r="T260" t="n">
        <v>0</v>
      </c>
      <c r="U260" s="2" t="inlineStr"/>
    </row>
    <row r="261" ht="15" customHeight="1">
      <c r="A261" t="inlineStr">
        <is>
          <t>A 52964-2023</t>
        </is>
      </c>
      <c r="B261" t="inlineStr">
        <is>
          <t>avverkningsanmälan</t>
        </is>
      </c>
      <c r="C261" t="inlineStr">
        <is>
          <t>Föryngringsavverkning</t>
        </is>
      </c>
      <c r="D261" s="1" t="n">
        <v>45226</v>
      </c>
      <c r="E261" s="1" t="n">
        <v>46216</v>
      </c>
      <c r="F261" t="inlineStr">
        <is>
          <t>ÖSTERGÖTLANDS LÄN</t>
        </is>
      </c>
      <c r="G261" t="inlineStr">
        <is>
          <t>BOXHOLM</t>
        </is>
      </c>
      <c r="I261" t="n">
        <v>2.8</v>
      </c>
      <c r="J261" t="n">
        <v>0</v>
      </c>
      <c r="K261" t="n">
        <v>0</v>
      </c>
      <c r="L261" t="n">
        <v>0</v>
      </c>
      <c r="M261" t="n">
        <v>0</v>
      </c>
      <c r="N261" t="n">
        <v>0</v>
      </c>
      <c r="O261" t="n">
        <v>0</v>
      </c>
      <c r="P261" t="n">
        <v>0</v>
      </c>
      <c r="Q261" t="n">
        <v>0</v>
      </c>
      <c r="R261" t="n">
        <v>0</v>
      </c>
      <c r="S261" t="n">
        <v>0</v>
      </c>
      <c r="T261" t="n">
        <v>0</v>
      </c>
      <c r="U261" s="2" t="inlineStr"/>
    </row>
    <row r="262" ht="15" customHeight="1">
      <c r="A262" t="inlineStr">
        <is>
          <t>A 21119-2026</t>
        </is>
      </c>
      <c r="B262" t="inlineStr">
        <is>
          <t>avverkningsanmälan</t>
        </is>
      </c>
      <c r="C262" t="inlineStr">
        <is>
          <t>Föryngringsavverkning</t>
        </is>
      </c>
      <c r="D262" s="1" t="n">
        <v>46146</v>
      </c>
      <c r="E262" s="1" t="n">
        <v>46216</v>
      </c>
      <c r="F262" t="inlineStr">
        <is>
          <t>ÖSTERGÖTLANDS LÄN</t>
        </is>
      </c>
      <c r="G262" t="inlineStr">
        <is>
          <t>BOXHOLM</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53316-2024</t>
        </is>
      </c>
      <c r="B263" t="inlineStr">
        <is>
          <t>avverkningsanmälan</t>
        </is>
      </c>
      <c r="C263" t="inlineStr">
        <is>
          <t>Föryngringsavverkning</t>
        </is>
      </c>
      <c r="D263" s="1" t="n">
        <v>45614</v>
      </c>
      <c r="E263" s="1" t="n">
        <v>46216</v>
      </c>
      <c r="F263" t="inlineStr">
        <is>
          <t>ÖSTERGÖTLANDS LÄN</t>
        </is>
      </c>
      <c r="G263" t="inlineStr">
        <is>
          <t>BOXHOLM</t>
        </is>
      </c>
      <c r="H263" t="inlineStr">
        <is>
          <t>Övriga Aktiebolag</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15526-2023</t>
        </is>
      </c>
      <c r="B264" t="inlineStr">
        <is>
          <t>avverkningsanmälan</t>
        </is>
      </c>
      <c r="C264" t="inlineStr">
        <is>
          <t>Föryngringsavverkning</t>
        </is>
      </c>
      <c r="D264" s="1" t="n">
        <v>45020</v>
      </c>
      <c r="E264" s="1" t="n">
        <v>46216</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21969-2026</t>
        </is>
      </c>
      <c r="B265" t="inlineStr">
        <is>
          <t>avverkningsanmälan</t>
        </is>
      </c>
      <c r="C265" t="inlineStr">
        <is>
          <t>Föryngringsavverkning</t>
        </is>
      </c>
      <c r="D265" s="1" t="n">
        <v>46152</v>
      </c>
      <c r="E265" s="1" t="n">
        <v>46216</v>
      </c>
      <c r="F265" t="inlineStr">
        <is>
          <t>ÖSTERGÖTLANDS LÄN</t>
        </is>
      </c>
      <c r="G265" t="inlineStr">
        <is>
          <t>BOXHOLM</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27647-2023</t>
        </is>
      </c>
      <c r="B266" t="inlineStr">
        <is>
          <t>avverkningsanmälan</t>
        </is>
      </c>
      <c r="C266" t="inlineStr">
        <is>
          <t>Föryngringsavverkning</t>
        </is>
      </c>
      <c r="D266" s="1" t="n">
        <v>45097</v>
      </c>
      <c r="E266" s="1" t="n">
        <v>46216</v>
      </c>
      <c r="F266" t="inlineStr">
        <is>
          <t>ÖSTERGÖTLANDS LÄN</t>
        </is>
      </c>
      <c r="G266" t="inlineStr">
        <is>
          <t>BOXHOLM</t>
        </is>
      </c>
      <c r="H266" t="inlineStr">
        <is>
          <t>Allmännings- och besparingsskogar</t>
        </is>
      </c>
      <c r="I266" t="n">
        <v>7.8</v>
      </c>
      <c r="J266" t="n">
        <v>0</v>
      </c>
      <c r="K266" t="n">
        <v>0</v>
      </c>
      <c r="L266" t="n">
        <v>0</v>
      </c>
      <c r="M266" t="n">
        <v>0</v>
      </c>
      <c r="N266" t="n">
        <v>0</v>
      </c>
      <c r="O266" t="n">
        <v>0</v>
      </c>
      <c r="P266" t="n">
        <v>0</v>
      </c>
      <c r="Q266" t="n">
        <v>0</v>
      </c>
      <c r="R266" t="n">
        <v>0</v>
      </c>
      <c r="S266" t="n">
        <v>0</v>
      </c>
      <c r="T266" t="n">
        <v>0</v>
      </c>
      <c r="U266" s="2" t="inlineStr"/>
    </row>
    <row r="267" ht="15" customHeight="1">
      <c r="A267" t="inlineStr">
        <is>
          <t>A 27305-2026</t>
        </is>
      </c>
      <c r="B267" t="inlineStr">
        <is>
          <t>avverkningsanmälan</t>
        </is>
      </c>
      <c r="C267" t="inlineStr">
        <is>
          <t>Avverkning för att bevara och utveckla /försöksver</t>
        </is>
      </c>
      <c r="D267" s="1" t="n">
        <v>46188</v>
      </c>
      <c r="E267" s="1" t="n">
        <v>46216</v>
      </c>
      <c r="F267" t="inlineStr">
        <is>
          <t>ÖSTERGÖTLANDS LÄN</t>
        </is>
      </c>
      <c r="G267" t="inlineStr">
        <is>
          <t>BOXHOLM</t>
        </is>
      </c>
      <c r="H267" t="inlineStr">
        <is>
          <t>Övriga Aktiebolag</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37405-2023</t>
        </is>
      </c>
      <c r="B268" t="inlineStr">
        <is>
          <t>avverkningsanmälan</t>
        </is>
      </c>
      <c r="C268" t="inlineStr">
        <is>
          <t>Föryngringsavverkning</t>
        </is>
      </c>
      <c r="D268" s="1" t="n">
        <v>45156</v>
      </c>
      <c r="E268" s="1" t="n">
        <v>46216</v>
      </c>
      <c r="F268" t="inlineStr">
        <is>
          <t>ÖSTERGÖTLANDS LÄN</t>
        </is>
      </c>
      <c r="G268" t="inlineStr">
        <is>
          <t>BOXHOLM</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2273-2025</t>
        </is>
      </c>
      <c r="B269" t="inlineStr">
        <is>
          <t>avverkningsanmälan</t>
        </is>
      </c>
      <c r="C269" t="inlineStr">
        <is>
          <t>Avverkning för annat ändamål</t>
        </is>
      </c>
      <c r="D269" s="1" t="n">
        <v>45673</v>
      </c>
      <c r="E269" s="1" t="n">
        <v>46216</v>
      </c>
      <c r="F269" t="inlineStr">
        <is>
          <t>ÖSTERGÖTLANDS LÄN</t>
        </is>
      </c>
      <c r="G269" t="inlineStr">
        <is>
          <t>BOXHOLM</t>
        </is>
      </c>
      <c r="H269" t="inlineStr">
        <is>
          <t>Övriga Aktiebolag</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40308-2022</t>
        </is>
      </c>
      <c r="B270" t="inlineStr">
        <is>
          <t>avverkningsanmälan</t>
        </is>
      </c>
      <c r="C270" t="inlineStr">
        <is>
          <t>Föryngringsavverkning</t>
        </is>
      </c>
      <c r="D270" s="1" t="n">
        <v>44822</v>
      </c>
      <c r="E270" s="1" t="n">
        <v>46216</v>
      </c>
      <c r="F270" t="inlineStr">
        <is>
          <t>ÖSTERGÖTLANDS LÄN</t>
        </is>
      </c>
      <c r="G270" t="inlineStr">
        <is>
          <t>BOXHOLM</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28233-2026</t>
        </is>
      </c>
      <c r="B271" t="inlineStr">
        <is>
          <t>avverkningsanmälan</t>
        </is>
      </c>
      <c r="C271" t="inlineStr">
        <is>
          <t>Föryngringsavverkning</t>
        </is>
      </c>
      <c r="D271" s="1" t="n">
        <v>46196</v>
      </c>
      <c r="E271" s="1" t="n">
        <v>46216</v>
      </c>
      <c r="F271" t="inlineStr">
        <is>
          <t>ÖSTERGÖTLANDS LÄN</t>
        </is>
      </c>
      <c r="G271" t="inlineStr">
        <is>
          <t>BOXHOLM</t>
        </is>
      </c>
      <c r="H271" t="inlineStr">
        <is>
          <t>Övriga Aktiebolag</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7290-2025</t>
        </is>
      </c>
      <c r="B272" t="inlineStr">
        <is>
          <t>avverkningsanmälan</t>
        </is>
      </c>
      <c r="C272" t="inlineStr">
        <is>
          <t>Avverkning för annat ändamål</t>
        </is>
      </c>
      <c r="D272" s="1" t="n">
        <v>45702</v>
      </c>
      <c r="E272" s="1" t="n">
        <v>46216</v>
      </c>
      <c r="F272" t="inlineStr">
        <is>
          <t>ÖSTERGÖTLANDS LÄN</t>
        </is>
      </c>
      <c r="G272" t="inlineStr">
        <is>
          <t>BOXHOLM</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51545-2023</t>
        </is>
      </c>
      <c r="B273" t="inlineStr">
        <is>
          <t>avverkningsanmälan</t>
        </is>
      </c>
      <c r="C273" t="inlineStr">
        <is>
          <t>Föryngringsavverkning</t>
        </is>
      </c>
      <c r="D273" s="1" t="n">
        <v>45222</v>
      </c>
      <c r="E273" s="1" t="n">
        <v>46216</v>
      </c>
      <c r="F273" t="inlineStr">
        <is>
          <t>ÖSTERGÖTLANDS LÄN</t>
        </is>
      </c>
      <c r="G273" t="inlineStr">
        <is>
          <t>BOXHOLM</t>
        </is>
      </c>
      <c r="I273" t="n">
        <v>4.3</v>
      </c>
      <c r="J273" t="n">
        <v>0</v>
      </c>
      <c r="K273" t="n">
        <v>0</v>
      </c>
      <c r="L273" t="n">
        <v>0</v>
      </c>
      <c r="M273" t="n">
        <v>0</v>
      </c>
      <c r="N273" t="n">
        <v>0</v>
      </c>
      <c r="O273" t="n">
        <v>0</v>
      </c>
      <c r="P273" t="n">
        <v>0</v>
      </c>
      <c r="Q273" t="n">
        <v>0</v>
      </c>
      <c r="R273" t="n">
        <v>0</v>
      </c>
      <c r="S273" t="n">
        <v>0</v>
      </c>
      <c r="T273" t="n">
        <v>0</v>
      </c>
      <c r="U273" s="2" t="inlineStr"/>
    </row>
    <row r="274" ht="15" customHeight="1">
      <c r="A274" t="inlineStr">
        <is>
          <t>A 15498-2023</t>
        </is>
      </c>
      <c r="B274" t="inlineStr">
        <is>
          <t>avverkningsanmälan</t>
        </is>
      </c>
      <c r="C274" t="inlineStr">
        <is>
          <t>Föryngringsavverkning</t>
        </is>
      </c>
      <c r="D274" s="1" t="n">
        <v>45020</v>
      </c>
      <c r="E274" s="1" t="n">
        <v>46216</v>
      </c>
      <c r="F274" t="inlineStr">
        <is>
          <t>ÖSTERGÖTLANDS LÄN</t>
        </is>
      </c>
      <c r="G274" t="inlineStr">
        <is>
          <t>BOXHOLM</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28865-2026</t>
        </is>
      </c>
      <c r="B275" t="inlineStr">
        <is>
          <t>avverkningsanmälan</t>
        </is>
      </c>
      <c r="C275" t="inlineStr">
        <is>
          <t>Föryngringsavverkning</t>
        </is>
      </c>
      <c r="D275" s="1" t="n">
        <v>46199</v>
      </c>
      <c r="E275" s="1" t="n">
        <v>46216</v>
      </c>
      <c r="F275" t="inlineStr">
        <is>
          <t>ÖSTERGÖTLANDS LÄN</t>
        </is>
      </c>
      <c r="G275" t="inlineStr">
        <is>
          <t>BOXHOLM</t>
        </is>
      </c>
      <c r="I275" t="n">
        <v>3.4</v>
      </c>
      <c r="J275" t="n">
        <v>0</v>
      </c>
      <c r="K275" t="n">
        <v>0</v>
      </c>
      <c r="L275" t="n">
        <v>0</v>
      </c>
      <c r="M275" t="n">
        <v>0</v>
      </c>
      <c r="N275" t="n">
        <v>0</v>
      </c>
      <c r="O275" t="n">
        <v>0</v>
      </c>
      <c r="P275" t="n">
        <v>0</v>
      </c>
      <c r="Q275" t="n">
        <v>0</v>
      </c>
      <c r="R275" t="n">
        <v>0</v>
      </c>
      <c r="S275" t="n">
        <v>0</v>
      </c>
      <c r="T275" t="n">
        <v>0</v>
      </c>
      <c r="U275" s="2" t="inlineStr"/>
    </row>
    <row r="276" ht="15" customHeight="1">
      <c r="A276" t="inlineStr">
        <is>
          <t>A 48560-2022</t>
        </is>
      </c>
      <c r="B276" t="inlineStr">
        <is>
          <t>avverkningsanmälan</t>
        </is>
      </c>
      <c r="C276" t="inlineStr">
        <is>
          <t>Föryngringsavverkning</t>
        </is>
      </c>
      <c r="D276" s="1" t="n">
        <v>44859</v>
      </c>
      <c r="E276" s="1" t="n">
        <v>46216</v>
      </c>
      <c r="F276" t="inlineStr">
        <is>
          <t>ÖSTERGÖTLANDS LÄN</t>
        </is>
      </c>
      <c r="G276" t="inlineStr">
        <is>
          <t>BOXHOLM</t>
        </is>
      </c>
      <c r="H276" t="inlineStr">
        <is>
          <t>Övriga Aktiebolag</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15500-2025</t>
        </is>
      </c>
      <c r="B277" t="inlineStr">
        <is>
          <t>avverkningsanmälan</t>
        </is>
      </c>
      <c r="C277" t="inlineStr">
        <is>
          <t>Avverkning för att bevara och utveckla /försöksver</t>
        </is>
      </c>
      <c r="D277" s="1" t="n">
        <v>45747</v>
      </c>
      <c r="E277" s="1" t="n">
        <v>46216</v>
      </c>
      <c r="F277" t="inlineStr">
        <is>
          <t>ÖSTERGÖTLANDS LÄN</t>
        </is>
      </c>
      <c r="G277" t="inlineStr">
        <is>
          <t>BOXHOLM</t>
        </is>
      </c>
      <c r="H277" t="inlineStr">
        <is>
          <t>Övriga Aktiebolag</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10152-2024</t>
        </is>
      </c>
      <c r="B278" t="inlineStr">
        <is>
          <t>avverkningsanmälan</t>
        </is>
      </c>
      <c r="C278" t="inlineStr">
        <is>
          <t>Föryngringsavverkning</t>
        </is>
      </c>
      <c r="D278" s="1" t="n">
        <v>45364</v>
      </c>
      <c r="E278" s="1" t="n">
        <v>46216</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27816-2025</t>
        </is>
      </c>
      <c r="B279" t="inlineStr">
        <is>
          <t>avverkningsanmälan</t>
        </is>
      </c>
      <c r="C279" t="inlineStr">
        <is>
          <t>Avverkning för annat ändamål</t>
        </is>
      </c>
      <c r="D279" s="1" t="n">
        <v>45817</v>
      </c>
      <c r="E279" s="1" t="n">
        <v>46216</v>
      </c>
      <c r="F279" t="inlineStr">
        <is>
          <t>ÖSTERGÖTLANDS LÄN</t>
        </is>
      </c>
      <c r="G279" t="inlineStr">
        <is>
          <t>BOXHOLM</t>
        </is>
      </c>
      <c r="I279" t="n">
        <v>1.5</v>
      </c>
      <c r="J279" t="n">
        <v>0</v>
      </c>
      <c r="K279" t="n">
        <v>0</v>
      </c>
      <c r="L279" t="n">
        <v>0</v>
      </c>
      <c r="M279" t="n">
        <v>0</v>
      </c>
      <c r="N279" t="n">
        <v>0</v>
      </c>
      <c r="O279" t="n">
        <v>0</v>
      </c>
      <c r="P279" t="n">
        <v>0</v>
      </c>
      <c r="Q279" t="n">
        <v>0</v>
      </c>
      <c r="R279" t="n">
        <v>0</v>
      </c>
      <c r="S279" t="n">
        <v>0</v>
      </c>
      <c r="T279" t="n">
        <v>0</v>
      </c>
      <c r="U279" s="2" t="inlineStr"/>
    </row>
    <row r="280" ht="15" customHeight="1">
      <c r="A280" t="inlineStr">
        <is>
          <t>A 35432-2023</t>
        </is>
      </c>
      <c r="B280" t="inlineStr">
        <is>
          <t>avverkningsanmälan</t>
        </is>
      </c>
      <c r="C280" t="inlineStr">
        <is>
          <t>Föryngringsavverkning</t>
        </is>
      </c>
      <c r="D280" s="1" t="n">
        <v>45146</v>
      </c>
      <c r="E280" s="1" t="n">
        <v>46216</v>
      </c>
      <c r="F280" t="inlineStr">
        <is>
          <t>ÖSTERGÖTLANDS LÄN</t>
        </is>
      </c>
      <c r="G280" t="inlineStr">
        <is>
          <t>BOXHOLM</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11850-2026</t>
        </is>
      </c>
      <c r="B281" t="inlineStr">
        <is>
          <t>avverkningsanmälan</t>
        </is>
      </c>
      <c r="C281" t="inlineStr">
        <is>
          <t>Avverkning för annat ändamål</t>
        </is>
      </c>
      <c r="D281" s="1" t="n">
        <v>46085</v>
      </c>
      <c r="E281" s="1" t="n">
        <v>46216</v>
      </c>
      <c r="F281" t="inlineStr">
        <is>
          <t>ÖSTERGÖTLANDS LÄN</t>
        </is>
      </c>
      <c r="G281" t="inlineStr">
        <is>
          <t>BOXHOLM</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21635-2023</t>
        </is>
      </c>
      <c r="B282" t="inlineStr">
        <is>
          <t>avverkningsanmälan</t>
        </is>
      </c>
      <c r="C282" t="inlineStr">
        <is>
          <t>Föryngringsavverkning</t>
        </is>
      </c>
      <c r="D282" s="1" t="n">
        <v>45062</v>
      </c>
      <c r="E282" s="1" t="n">
        <v>46216</v>
      </c>
      <c r="F282" t="inlineStr">
        <is>
          <t>ÖSTERGÖTLANDS LÄN</t>
        </is>
      </c>
      <c r="G282" t="inlineStr">
        <is>
          <t>BOXHOLM</t>
        </is>
      </c>
      <c r="I282" t="n">
        <v>6</v>
      </c>
      <c r="J282" t="n">
        <v>0</v>
      </c>
      <c r="K282" t="n">
        <v>0</v>
      </c>
      <c r="L282" t="n">
        <v>0</v>
      </c>
      <c r="M282" t="n">
        <v>0</v>
      </c>
      <c r="N282" t="n">
        <v>0</v>
      </c>
      <c r="O282" t="n">
        <v>0</v>
      </c>
      <c r="P282" t="n">
        <v>0</v>
      </c>
      <c r="Q282" t="n">
        <v>0</v>
      </c>
      <c r="R282" t="n">
        <v>0</v>
      </c>
      <c r="S282" t="n">
        <v>0</v>
      </c>
      <c r="T282" t="n">
        <v>0</v>
      </c>
      <c r="U282" s="2" t="inlineStr"/>
    </row>
    <row r="283" ht="15" customHeight="1">
      <c r="A283" t="inlineStr">
        <is>
          <t>A 59125-2022</t>
        </is>
      </c>
      <c r="B283" t="inlineStr">
        <is>
          <t>avverkningsanmälan</t>
        </is>
      </c>
      <c r="C283" t="inlineStr">
        <is>
          <t>Föryngringsavverkning</t>
        </is>
      </c>
      <c r="D283" s="1" t="n">
        <v>44904</v>
      </c>
      <c r="E283" s="1" t="n">
        <v>46216</v>
      </c>
      <c r="F283" t="inlineStr">
        <is>
          <t>ÖSTERGÖTLANDS LÄN</t>
        </is>
      </c>
      <c r="G283" t="inlineStr">
        <is>
          <t>BOXHOLM</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29976-2026</t>
        </is>
      </c>
      <c r="B284" t="inlineStr">
        <is>
          <t>avverkningsanmälan</t>
        </is>
      </c>
      <c r="C284" t="inlineStr">
        <is>
          <t>Föryngringsavverkning</t>
        </is>
      </c>
      <c r="D284" s="1" t="n">
        <v>46205</v>
      </c>
      <c r="E284" s="1" t="n">
        <v>46216</v>
      </c>
      <c r="F284" t="inlineStr">
        <is>
          <t>ÖSTERGÖTLANDS LÄN</t>
        </is>
      </c>
      <c r="G284" t="inlineStr">
        <is>
          <t>BOXHOLM</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48322-2022</t>
        </is>
      </c>
      <c r="B285" t="inlineStr">
        <is>
          <t>avverkningsanmälan</t>
        </is>
      </c>
      <c r="C285" t="inlineStr">
        <is>
          <t>Föryngringsavverkning</t>
        </is>
      </c>
      <c r="D285" s="1" t="n">
        <v>44858</v>
      </c>
      <c r="E285" s="1" t="n">
        <v>46216</v>
      </c>
      <c r="F285" t="inlineStr">
        <is>
          <t>ÖSTERGÖTLANDS LÄN</t>
        </is>
      </c>
      <c r="G285" t="inlineStr">
        <is>
          <t>BOXHOLM</t>
        </is>
      </c>
      <c r="H285" t="inlineStr">
        <is>
          <t>Allmännings- och besparingsskogar</t>
        </is>
      </c>
      <c r="I285" t="n">
        <v>6</v>
      </c>
      <c r="J285" t="n">
        <v>0</v>
      </c>
      <c r="K285" t="n">
        <v>0</v>
      </c>
      <c r="L285" t="n">
        <v>0</v>
      </c>
      <c r="M285" t="n">
        <v>0</v>
      </c>
      <c r="N285" t="n">
        <v>0</v>
      </c>
      <c r="O285" t="n">
        <v>0</v>
      </c>
      <c r="P285" t="n">
        <v>0</v>
      </c>
      <c r="Q285" t="n">
        <v>0</v>
      </c>
      <c r="R285" t="n">
        <v>0</v>
      </c>
      <c r="S285" t="n">
        <v>0</v>
      </c>
      <c r="T285" t="n">
        <v>0</v>
      </c>
      <c r="U285" s="2" t="inlineStr"/>
    </row>
    <row r="286" ht="15" customHeight="1">
      <c r="A286" t="inlineStr">
        <is>
          <t>A 29974-2026</t>
        </is>
      </c>
      <c r="B286" t="inlineStr">
        <is>
          <t>avverkningsanmälan</t>
        </is>
      </c>
      <c r="C286" t="inlineStr">
        <is>
          <t>Föryngringsavverkning</t>
        </is>
      </c>
      <c r="D286" s="1" t="n">
        <v>46205</v>
      </c>
      <c r="E286" s="1" t="n">
        <v>46216</v>
      </c>
      <c r="F286" t="inlineStr">
        <is>
          <t>ÖSTERGÖTLANDS LÄN</t>
        </is>
      </c>
      <c r="G286" t="inlineStr">
        <is>
          <t>BOXHOLM</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29975-2026</t>
        </is>
      </c>
      <c r="B287" t="inlineStr">
        <is>
          <t>avverkningsanmälan</t>
        </is>
      </c>
      <c r="C287" t="inlineStr">
        <is>
          <t>Föryngringsavverkning</t>
        </is>
      </c>
      <c r="D287" s="1" t="n">
        <v>46205</v>
      </c>
      <c r="E287" s="1" t="n">
        <v>46216</v>
      </c>
      <c r="F287" t="inlineStr">
        <is>
          <t>ÖSTERGÖTLANDS LÄN</t>
        </is>
      </c>
      <c r="G287" t="inlineStr">
        <is>
          <t>BOXHOLM</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29977-2026</t>
        </is>
      </c>
      <c r="B288" t="inlineStr">
        <is>
          <t>avverkningsanmälan</t>
        </is>
      </c>
      <c r="C288" t="inlineStr">
        <is>
          <t>Föryngringsavverkning</t>
        </is>
      </c>
      <c r="D288" s="1" t="n">
        <v>46205</v>
      </c>
      <c r="E288" s="1" t="n">
        <v>46216</v>
      </c>
      <c r="F288" t="inlineStr">
        <is>
          <t>ÖSTERGÖTLANDS LÄN</t>
        </is>
      </c>
      <c r="G288" t="inlineStr">
        <is>
          <t>BOXHOLM</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60210-2023</t>
        </is>
      </c>
      <c r="B289" t="inlineStr">
        <is>
          <t>avverkningsanmälan</t>
        </is>
      </c>
      <c r="C289" t="inlineStr">
        <is>
          <t>Föryngringsavverkning</t>
        </is>
      </c>
      <c r="D289" s="1" t="n">
        <v>45258</v>
      </c>
      <c r="E289" s="1" t="n">
        <v>46216</v>
      </c>
      <c r="F289" t="inlineStr">
        <is>
          <t>ÖSTERGÖTLANDS LÄN</t>
        </is>
      </c>
      <c r="G289" t="inlineStr">
        <is>
          <t>BOXHOLM</t>
        </is>
      </c>
      <c r="H289" t="inlineStr">
        <is>
          <t>Övriga Aktiebolag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60867-2022</t>
        </is>
      </c>
      <c r="B290" t="inlineStr">
        <is>
          <t>avverkningsanmälan</t>
        </is>
      </c>
      <c r="C290" t="inlineStr">
        <is>
          <t>Avverkning för annat ändamål</t>
        </is>
      </c>
      <c r="D290" s="1" t="n">
        <v>44914</v>
      </c>
      <c r="E290" s="1" t="n">
        <v>46216</v>
      </c>
      <c r="F290" t="inlineStr">
        <is>
          <t>ÖSTERGÖTLANDS LÄN</t>
        </is>
      </c>
      <c r="G290" t="inlineStr">
        <is>
          <t>BOXHOLM</t>
        </is>
      </c>
      <c r="H290" t="inlineStr">
        <is>
          <t>Övriga Aktiebolag</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17872-2025</t>
        </is>
      </c>
      <c r="B291" t="inlineStr">
        <is>
          <t>avverkningsanmälan</t>
        </is>
      </c>
      <c r="C291" t="inlineStr">
        <is>
          <t>Avverkning för att bevara och utveckla /försöksver</t>
        </is>
      </c>
      <c r="D291" s="1" t="n">
        <v>45758</v>
      </c>
      <c r="E291" s="1" t="n">
        <v>46216</v>
      </c>
      <c r="F291" t="inlineStr">
        <is>
          <t>ÖSTERGÖTLANDS LÄN</t>
        </is>
      </c>
      <c r="G291" t="inlineStr">
        <is>
          <t>BOXHOLM</t>
        </is>
      </c>
      <c r="H291" t="inlineStr">
        <is>
          <t>Övriga Aktiebolag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23831-2026</t>
        </is>
      </c>
      <c r="B292" t="inlineStr">
        <is>
          <t>avverkningsanmälan</t>
        </is>
      </c>
      <c r="C292" t="inlineStr">
        <is>
          <t>Föryngringsavverkning</t>
        </is>
      </c>
      <c r="D292" s="1" t="n">
        <v>46167</v>
      </c>
      <c r="E292" s="1" t="n">
        <v>46216</v>
      </c>
      <c r="F292" t="inlineStr">
        <is>
          <t>ÖSTERGÖTLANDS LÄN</t>
        </is>
      </c>
      <c r="G292" t="inlineStr">
        <is>
          <t>BOXHOLM</t>
        </is>
      </c>
      <c r="H292" t="inlineStr">
        <is>
          <t>Övriga Aktiebolag</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26648-2025</t>
        </is>
      </c>
      <c r="B293" t="inlineStr">
        <is>
          <t>avverkningsanmälan</t>
        </is>
      </c>
      <c r="C293" t="inlineStr">
        <is>
          <t>Föryngringsavverkning</t>
        </is>
      </c>
      <c r="D293" s="1" t="n">
        <v>45809</v>
      </c>
      <c r="E293" s="1" t="n">
        <v>46216</v>
      </c>
      <c r="F293" t="inlineStr">
        <is>
          <t>ÖSTERGÖTLANDS LÄN</t>
        </is>
      </c>
      <c r="G293" t="inlineStr">
        <is>
          <t>BOXHOLM</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954-2024</t>
        </is>
      </c>
      <c r="B294" t="inlineStr">
        <is>
          <t>avverkningsanmälan</t>
        </is>
      </c>
      <c r="C294" t="inlineStr">
        <is>
          <t>Föryngringsavverkning</t>
        </is>
      </c>
      <c r="D294" s="1" t="n">
        <v>45301</v>
      </c>
      <c r="E294" s="1" t="n">
        <v>46216</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965-2024</t>
        </is>
      </c>
      <c r="B295" t="inlineStr">
        <is>
          <t>avverkningsanmälan</t>
        </is>
      </c>
      <c r="C295" t="inlineStr">
        <is>
          <t>Föryngringsavverkning</t>
        </is>
      </c>
      <c r="D295" s="1" t="n">
        <v>45301</v>
      </c>
      <c r="E295" s="1" t="n">
        <v>46216</v>
      </c>
      <c r="F295" t="inlineStr">
        <is>
          <t>ÖSTERGÖTLANDS LÄN</t>
        </is>
      </c>
      <c r="G295" t="inlineStr">
        <is>
          <t>BOXHOLM</t>
        </is>
      </c>
      <c r="I295" t="n">
        <v>4.1</v>
      </c>
      <c r="J295" t="n">
        <v>0</v>
      </c>
      <c r="K295" t="n">
        <v>0</v>
      </c>
      <c r="L295" t="n">
        <v>0</v>
      </c>
      <c r="M295" t="n">
        <v>0</v>
      </c>
      <c r="N295" t="n">
        <v>0</v>
      </c>
      <c r="O295" t="n">
        <v>0</v>
      </c>
      <c r="P295" t="n">
        <v>0</v>
      </c>
      <c r="Q295" t="n">
        <v>0</v>
      </c>
      <c r="R295" t="n">
        <v>0</v>
      </c>
      <c r="S295" t="n">
        <v>0</v>
      </c>
      <c r="T295" t="n">
        <v>0</v>
      </c>
      <c r="U295" s="2" t="inlineStr"/>
    </row>
    <row r="296" ht="15" customHeight="1">
      <c r="A296" t="inlineStr">
        <is>
          <t>A 39028-2023</t>
        </is>
      </c>
      <c r="B296" t="inlineStr">
        <is>
          <t>avverkningsanmälan</t>
        </is>
      </c>
      <c r="C296" t="inlineStr">
        <is>
          <t>Föryngringsavverkning</t>
        </is>
      </c>
      <c r="D296" s="1" t="n">
        <v>45163</v>
      </c>
      <c r="E296" s="1" t="n">
        <v>46216</v>
      </c>
      <c r="F296" t="inlineStr">
        <is>
          <t>ÖSTERGÖTLANDS LÄN</t>
        </is>
      </c>
      <c r="G296" t="inlineStr">
        <is>
          <t>BOXHOLM</t>
        </is>
      </c>
      <c r="H296" t="inlineStr">
        <is>
          <t>Allmännings- och besparingsskogar</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16635-2022</t>
        </is>
      </c>
      <c r="B297" t="inlineStr">
        <is>
          <t>avverkningsanmälan</t>
        </is>
      </c>
      <c r="C297" t="inlineStr">
        <is>
          <t>Föryngringsavverkning</t>
        </is>
      </c>
      <c r="D297" s="1" t="n">
        <v>44672</v>
      </c>
      <c r="E297" s="1" t="n">
        <v>46216</v>
      </c>
      <c r="F297" t="inlineStr">
        <is>
          <t>ÖSTERGÖTLANDS LÄN</t>
        </is>
      </c>
      <c r="G297" t="inlineStr">
        <is>
          <t>BOXHOLM</t>
        </is>
      </c>
      <c r="I297" t="n">
        <v>2.9</v>
      </c>
      <c r="J297" t="n">
        <v>0</v>
      </c>
      <c r="K297" t="n">
        <v>0</v>
      </c>
      <c r="L297" t="n">
        <v>0</v>
      </c>
      <c r="M297" t="n">
        <v>0</v>
      </c>
      <c r="N297" t="n">
        <v>0</v>
      </c>
      <c r="O297" t="n">
        <v>0</v>
      </c>
      <c r="P297" t="n">
        <v>0</v>
      </c>
      <c r="Q297" t="n">
        <v>0</v>
      </c>
      <c r="R297" t="n">
        <v>0</v>
      </c>
      <c r="S297" t="n">
        <v>0</v>
      </c>
      <c r="T297" t="n">
        <v>0</v>
      </c>
      <c r="U297" s="2" t="inlineStr"/>
    </row>
    <row r="298" ht="15" customHeight="1">
      <c r="A298" t="inlineStr">
        <is>
          <t>A 22853-2023</t>
        </is>
      </c>
      <c r="B298" t="inlineStr">
        <is>
          <t>avverkningsanmälan</t>
        </is>
      </c>
      <c r="C298" t="inlineStr">
        <is>
          <t>Föryngringsavverkning</t>
        </is>
      </c>
      <c r="D298" s="1" t="n">
        <v>45072</v>
      </c>
      <c r="E298" s="1" t="n">
        <v>46216</v>
      </c>
      <c r="F298" t="inlineStr">
        <is>
          <t>ÖSTERGÖTLANDS LÄN</t>
        </is>
      </c>
      <c r="G298" t="inlineStr">
        <is>
          <t>BOXHOLM</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15386-2025</t>
        </is>
      </c>
      <c r="B299" t="inlineStr">
        <is>
          <t>avverkningsanmälan</t>
        </is>
      </c>
      <c r="C299" t="inlineStr">
        <is>
          <t>Avverkning för att bevara och utveckla /försöksver</t>
        </is>
      </c>
      <c r="D299" s="1" t="n">
        <v>45747</v>
      </c>
      <c r="E299" s="1" t="n">
        <v>46216</v>
      </c>
      <c r="F299" t="inlineStr">
        <is>
          <t>ÖSTERGÖTLANDS LÄN</t>
        </is>
      </c>
      <c r="G299" t="inlineStr">
        <is>
          <t>BOXHOLM</t>
        </is>
      </c>
      <c r="H299" t="inlineStr">
        <is>
          <t>Övriga Aktiebolag</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10331-2024</t>
        </is>
      </c>
      <c r="B300" t="inlineStr">
        <is>
          <t>avverkningsanmälan</t>
        </is>
      </c>
      <c r="C300" t="inlineStr">
        <is>
          <t>Föryngringsavverkning</t>
        </is>
      </c>
      <c r="D300" s="1" t="n">
        <v>45365</v>
      </c>
      <c r="E300" s="1" t="n">
        <v>46216</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49089-2023</t>
        </is>
      </c>
      <c r="B301" t="inlineStr">
        <is>
          <t>avverkningsanmälan</t>
        </is>
      </c>
      <c r="C301" t="inlineStr">
        <is>
          <t>Föryngringsavverkning</t>
        </is>
      </c>
      <c r="D301" s="1" t="n">
        <v>45210</v>
      </c>
      <c r="E301" s="1" t="n">
        <v>46216</v>
      </c>
      <c r="F301" t="inlineStr">
        <is>
          <t>ÖSTERGÖTLANDS LÄN</t>
        </is>
      </c>
      <c r="G301" t="inlineStr">
        <is>
          <t>BOXHOLM</t>
        </is>
      </c>
      <c r="I301" t="n">
        <v>11.2</v>
      </c>
      <c r="J301" t="n">
        <v>0</v>
      </c>
      <c r="K301" t="n">
        <v>0</v>
      </c>
      <c r="L301" t="n">
        <v>0</v>
      </c>
      <c r="M301" t="n">
        <v>0</v>
      </c>
      <c r="N301" t="n">
        <v>0</v>
      </c>
      <c r="O301" t="n">
        <v>0</v>
      </c>
      <c r="P301" t="n">
        <v>0</v>
      </c>
      <c r="Q301" t="n">
        <v>0</v>
      </c>
      <c r="R301" t="n">
        <v>0</v>
      </c>
      <c r="S301" t="n">
        <v>0</v>
      </c>
      <c r="T301" t="n">
        <v>0</v>
      </c>
      <c r="U301" s="2" t="inlineStr"/>
    </row>
    <row r="302" ht="15" customHeight="1">
      <c r="A302" t="inlineStr">
        <is>
          <t>A 2198-2023</t>
        </is>
      </c>
      <c r="B302" t="inlineStr">
        <is>
          <t>avverkningsanmälan</t>
        </is>
      </c>
      <c r="C302" t="inlineStr">
        <is>
          <t>Föryngringsavverkning</t>
        </is>
      </c>
      <c r="D302" s="1" t="n">
        <v>44942</v>
      </c>
      <c r="E302" s="1" t="n">
        <v>46216</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25431-2023</t>
        </is>
      </c>
      <c r="B303" t="inlineStr">
        <is>
          <t>avverkningsanmälan</t>
        </is>
      </c>
      <c r="C303" t="inlineStr">
        <is>
          <t>Föryngringsavverkning</t>
        </is>
      </c>
      <c r="D303" s="1" t="n">
        <v>45089</v>
      </c>
      <c r="E303" s="1" t="n">
        <v>46216</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15501-2023</t>
        </is>
      </c>
      <c r="B304" t="inlineStr">
        <is>
          <t>avverkningsanmälan</t>
        </is>
      </c>
      <c r="C304" t="inlineStr">
        <is>
          <t>Föryngringsavverkning</t>
        </is>
      </c>
      <c r="D304" s="1" t="n">
        <v>45020</v>
      </c>
      <c r="E304" s="1" t="n">
        <v>46216</v>
      </c>
      <c r="F304" t="inlineStr">
        <is>
          <t>ÖSTERGÖTLANDS LÄN</t>
        </is>
      </c>
      <c r="G304" t="inlineStr">
        <is>
          <t>BOXHOLM</t>
        </is>
      </c>
      <c r="I304" t="n">
        <v>0</v>
      </c>
      <c r="J304" t="n">
        <v>0</v>
      </c>
      <c r="K304" t="n">
        <v>0</v>
      </c>
      <c r="L304" t="n">
        <v>0</v>
      </c>
      <c r="M304" t="n">
        <v>0</v>
      </c>
      <c r="N304" t="n">
        <v>0</v>
      </c>
      <c r="O304" t="n">
        <v>0</v>
      </c>
      <c r="P304" t="n">
        <v>0</v>
      </c>
      <c r="Q304" t="n">
        <v>0</v>
      </c>
      <c r="R304" t="n">
        <v>0</v>
      </c>
      <c r="S304" t="n">
        <v>0</v>
      </c>
      <c r="T304" t="n">
        <v>0</v>
      </c>
      <c r="U304" s="2" t="inlineStr"/>
    </row>
    <row r="305" ht="15" customHeight="1">
      <c r="A305" t="inlineStr">
        <is>
          <t>A 15505-2023</t>
        </is>
      </c>
      <c r="B305" t="inlineStr">
        <is>
          <t>avverkningsanmälan</t>
        </is>
      </c>
      <c r="C305" t="inlineStr">
        <is>
          <t>Föryngringsavverkning</t>
        </is>
      </c>
      <c r="D305" s="1" t="n">
        <v>45020</v>
      </c>
      <c r="E305" s="1" t="n">
        <v>46216</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966-2024</t>
        </is>
      </c>
      <c r="B306" t="inlineStr">
        <is>
          <t>avverkningsanmälan</t>
        </is>
      </c>
      <c r="C306" t="inlineStr">
        <is>
          <t>Föryngringsavverkning</t>
        </is>
      </c>
      <c r="D306" s="1" t="n">
        <v>45301</v>
      </c>
      <c r="E306" s="1" t="n">
        <v>46216</v>
      </c>
      <c r="F306" t="inlineStr">
        <is>
          <t>ÖSTERGÖTLANDS LÄN</t>
        </is>
      </c>
      <c r="G306" t="inlineStr">
        <is>
          <t>BOXHOLM</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40294-2024</t>
        </is>
      </c>
      <c r="B307" t="inlineStr">
        <is>
          <t>avverkningsanmälan</t>
        </is>
      </c>
      <c r="C307" t="inlineStr">
        <is>
          <t>Föryngringsavverkning</t>
        </is>
      </c>
      <c r="D307" s="1" t="n">
        <v>45554</v>
      </c>
      <c r="E307" s="1" t="n">
        <v>46216</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s="2" t="inlineStr"/>
    </row>
    <row r="308" ht="15" customHeight="1">
      <c r="A308" t="inlineStr">
        <is>
          <t>A 21385-2025</t>
        </is>
      </c>
      <c r="B308" t="inlineStr">
        <is>
          <t>avverkningsanmälan</t>
        </is>
      </c>
      <c r="C308" t="inlineStr">
        <is>
          <t>Föryngringsavverkning</t>
        </is>
      </c>
      <c r="D308" s="1" t="n">
        <v>45782</v>
      </c>
      <c r="E308" s="1" t="n">
        <v>46216</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6884-2024</t>
        </is>
      </c>
      <c r="B309" t="inlineStr">
        <is>
          <t>avverkningsanmälan</t>
        </is>
      </c>
      <c r="C309" t="inlineStr">
        <is>
          <t>Föryngringsavverkning</t>
        </is>
      </c>
      <c r="D309" s="1" t="n">
        <v>45342</v>
      </c>
      <c r="E309" s="1" t="n">
        <v>46216</v>
      </c>
      <c r="F309" t="inlineStr">
        <is>
          <t>ÖSTERGÖTLANDS LÄN</t>
        </is>
      </c>
      <c r="G309" t="inlineStr">
        <is>
          <t>BOXHOLM</t>
        </is>
      </c>
      <c r="I309" t="n">
        <v>2.5</v>
      </c>
      <c r="J309" t="n">
        <v>0</v>
      </c>
      <c r="K309" t="n">
        <v>0</v>
      </c>
      <c r="L309" t="n">
        <v>0</v>
      </c>
      <c r="M309" t="n">
        <v>0</v>
      </c>
      <c r="N309" t="n">
        <v>0</v>
      </c>
      <c r="O309" t="n">
        <v>0</v>
      </c>
      <c r="P309" t="n">
        <v>0</v>
      </c>
      <c r="Q309" t="n">
        <v>0</v>
      </c>
      <c r="R309" t="n">
        <v>0</v>
      </c>
      <c r="S309" t="n">
        <v>0</v>
      </c>
      <c r="T309" t="n">
        <v>0</v>
      </c>
      <c r="U309" s="2" t="inlineStr"/>
    </row>
    <row r="310" ht="15" customHeight="1">
      <c r="A310" t="inlineStr">
        <is>
          <t>A 35648-2023</t>
        </is>
      </c>
      <c r="B310" t="inlineStr">
        <is>
          <t>avverkningsanmälan</t>
        </is>
      </c>
      <c r="C310" t="inlineStr">
        <is>
          <t>Föryngringsavverkning</t>
        </is>
      </c>
      <c r="D310" s="1" t="n">
        <v>45147</v>
      </c>
      <c r="E310" s="1" t="n">
        <v>46216</v>
      </c>
      <c r="F310" t="inlineStr">
        <is>
          <t>ÖSTERGÖTLANDS LÄN</t>
        </is>
      </c>
      <c r="G310" t="inlineStr">
        <is>
          <t>BOXHOLM</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24582-2025</t>
        </is>
      </c>
      <c r="B311" t="inlineStr">
        <is>
          <t>avverkningsanmälan</t>
        </is>
      </c>
      <c r="C311" t="inlineStr">
        <is>
          <t>Föryngringsavverkning</t>
        </is>
      </c>
      <c r="D311" s="1" t="n">
        <v>45797</v>
      </c>
      <c r="E311" s="1" t="n">
        <v>46216</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24325-2025</t>
        </is>
      </c>
      <c r="B312" t="inlineStr">
        <is>
          <t>avverkningsanmälan</t>
        </is>
      </c>
      <c r="C312" t="inlineStr">
        <is>
          <t>Föryngringsavverkning</t>
        </is>
      </c>
      <c r="D312" s="1" t="n">
        <v>45797</v>
      </c>
      <c r="E312" s="1" t="n">
        <v>46216</v>
      </c>
      <c r="F312" t="inlineStr">
        <is>
          <t>ÖSTERGÖTLANDS LÄN</t>
        </is>
      </c>
      <c r="G312" t="inlineStr">
        <is>
          <t>BOXHOLM</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S 3421-2024</t>
        </is>
      </c>
      <c r="B313" t="inlineStr">
        <is>
          <t>samrådsanmälan</t>
        </is>
      </c>
      <c r="C313" t="inlineStr">
        <is>
          <t>Annan skogsbruksåtgärd</t>
        </is>
      </c>
      <c r="D313" s="1" t="n">
        <v>45537</v>
      </c>
      <c r="E313" s="1" t="n">
        <v>46216</v>
      </c>
      <c r="F313" t="inlineStr">
        <is>
          <t>ÖSTERGÖTLANDS LÄN</t>
        </is>
      </c>
      <c r="G313" t="inlineStr">
        <is>
          <t>BOXHOLM</t>
        </is>
      </c>
      <c r="H313" t="inlineStr">
        <is>
          <t>Övriga Aktiebolag</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S 2704-2025</t>
        </is>
      </c>
      <c r="B314" t="inlineStr">
        <is>
          <t>samrådsanmälan</t>
        </is>
      </c>
      <c r="C314" t="inlineStr">
        <is>
          <t>Annan skogsbruksåtgärd</t>
        </is>
      </c>
      <c r="D314" s="1" t="n">
        <v>45929</v>
      </c>
      <c r="E314" s="1" t="n">
        <v>46216</v>
      </c>
      <c r="F314" t="inlineStr">
        <is>
          <t>ÖSTERGÖTLANDS LÄN</t>
        </is>
      </c>
      <c r="G314" t="inlineStr">
        <is>
          <t>BOXHOLM</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S 2850-2025</t>
        </is>
      </c>
      <c r="B315" t="inlineStr">
        <is>
          <t>samrådsanmälan</t>
        </is>
      </c>
      <c r="C315" t="inlineStr">
        <is>
          <t>Annan skogsbruksåtgärd</t>
        </is>
      </c>
      <c r="D315" s="1" t="n">
        <v>45943</v>
      </c>
      <c r="E315" s="1" t="n">
        <v>46216</v>
      </c>
      <c r="F315" t="inlineStr">
        <is>
          <t>ÖSTERGÖTLANDS LÄN</t>
        </is>
      </c>
      <c r="G315" t="inlineStr">
        <is>
          <t>BOXHOLM</t>
        </is>
      </c>
      <c r="H315" t="inlineStr">
        <is>
          <t>Övriga Aktiebolag</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S 3421-2025</t>
        </is>
      </c>
      <c r="B316" t="inlineStr">
        <is>
          <t>samrådsanmälan</t>
        </is>
      </c>
      <c r="C316" t="inlineStr">
        <is>
          <t>Annan skogsbruksåtgärd</t>
        </is>
      </c>
      <c r="D316" s="1" t="n">
        <v>45996</v>
      </c>
      <c r="E316" s="1" t="n">
        <v>46216</v>
      </c>
      <c r="F316" t="inlineStr">
        <is>
          <t>ÖSTERGÖTLANDS LÄN</t>
        </is>
      </c>
      <c r="G316" t="inlineStr">
        <is>
          <t>BOXHOLM</t>
        </is>
      </c>
      <c r="H316" t="inlineStr">
        <is>
          <t>Övriga Aktiebolag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3419-2025</t>
        </is>
      </c>
      <c r="B317" t="inlineStr">
        <is>
          <t>samrådsanmälan</t>
        </is>
      </c>
      <c r="C317" t="inlineStr">
        <is>
          <t>Annan skogsbruksåtgärd</t>
        </is>
      </c>
      <c r="D317" s="1" t="n">
        <v>45996</v>
      </c>
      <c r="E317" s="1" t="n">
        <v>46216</v>
      </c>
      <c r="F317" t="inlineStr">
        <is>
          <t>ÖSTERGÖTLANDS LÄN</t>
        </is>
      </c>
      <c r="G317" t="inlineStr">
        <is>
          <t>BOXHOLM</t>
        </is>
      </c>
      <c r="H317" t="inlineStr">
        <is>
          <t>Övriga Aktiebolag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S 1747-2026</t>
        </is>
      </c>
      <c r="B318" t="inlineStr">
        <is>
          <t>samrådsanmälan</t>
        </is>
      </c>
      <c r="C318" t="inlineStr">
        <is>
          <t>Annan skogsbruksåtgärd</t>
        </is>
      </c>
      <c r="D318" s="1" t="n">
        <v>46189</v>
      </c>
      <c r="E318" s="1" t="n">
        <v>46216</v>
      </c>
      <c r="F318" t="inlineStr">
        <is>
          <t>ÖSTERGÖTLANDS LÄN</t>
        </is>
      </c>
      <c r="G318" t="inlineStr">
        <is>
          <t>BOXHOLM</t>
        </is>
      </c>
      <c r="H318" t="inlineStr">
        <is>
          <t>Övriga Aktiebolag</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S 1746-2026</t>
        </is>
      </c>
      <c r="B319" t="inlineStr">
        <is>
          <t>samrådsanmälan</t>
        </is>
      </c>
      <c r="C319" t="inlineStr">
        <is>
          <t>Annan skogsbruksåtgärd</t>
        </is>
      </c>
      <c r="D319" s="1" t="n">
        <v>46189</v>
      </c>
      <c r="E319" s="1" t="n">
        <v>46216</v>
      </c>
      <c r="F319" t="inlineStr">
        <is>
          <t>ÖSTERGÖTLANDS LÄN</t>
        </is>
      </c>
      <c r="G319" t="inlineStr">
        <is>
          <t>BOXHOLM</t>
        </is>
      </c>
      <c r="H319" t="inlineStr">
        <is>
          <t>Övriga Aktiebolag</t>
        </is>
      </c>
      <c r="I319" t="n">
        <v>0.7</v>
      </c>
      <c r="J319" t="n">
        <v>0</v>
      </c>
      <c r="K319" t="n">
        <v>0</v>
      </c>
      <c r="L319" t="n">
        <v>0</v>
      </c>
      <c r="M319" t="n">
        <v>0</v>
      </c>
      <c r="N319" t="n">
        <v>0</v>
      </c>
      <c r="O319" t="n">
        <v>0</v>
      </c>
      <c r="P319" t="n">
        <v>0</v>
      </c>
      <c r="Q319" t="n">
        <v>0</v>
      </c>
      <c r="R319" t="n">
        <v>0</v>
      </c>
      <c r="S319" t="n">
        <v>0</v>
      </c>
      <c r="T319" t="n">
        <v>0</v>
      </c>
      <c r="U319" s="2" t="inlineStr"/>
    </row>
    <row r="320">
      <c r="A320" t="inlineStr">
        <is>
          <t>S 1800-2026</t>
        </is>
      </c>
      <c r="B320" t="inlineStr">
        <is>
          <t>samrådsanmälan</t>
        </is>
      </c>
      <c r="C320" t="inlineStr">
        <is>
          <t>Annan skogsbruksåtgärd</t>
        </is>
      </c>
      <c r="D320" s="1" t="n">
        <v>46196</v>
      </c>
      <c r="E320" s="1" t="n">
        <v>46216</v>
      </c>
      <c r="F320" t="inlineStr">
        <is>
          <t>ÖSTERGÖTLANDS LÄN</t>
        </is>
      </c>
      <c r="G320" t="inlineStr">
        <is>
          <t>BOXHOLM</t>
        </is>
      </c>
      <c r="H320" t="inlineStr">
        <is>
          <t>Övriga Aktiebolag</t>
        </is>
      </c>
      <c r="I320" t="n">
        <v>3.4</v>
      </c>
      <c r="J320" t="n">
        <v>0</v>
      </c>
      <c r="K320" t="n">
        <v>0</v>
      </c>
      <c r="L320" t="n">
        <v>0</v>
      </c>
      <c r="M320" t="n">
        <v>0</v>
      </c>
      <c r="N320" t="n">
        <v>0</v>
      </c>
      <c r="O320" t="n">
        <v>0</v>
      </c>
      <c r="P320" t="n">
        <v>0</v>
      </c>
      <c r="Q320" t="n">
        <v>0</v>
      </c>
      <c r="R320" t="n">
        <v>0</v>
      </c>
      <c r="S320" t="n">
        <v>0</v>
      </c>
      <c r="T320" t="n">
        <v>0</v>
      </c>
      <c r="U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2026-07-13T14:51:09Z</dcterms:created>
  <dcterms:modified xmlns:dcterms="http://purl.org/dc/terms/" xmlns:xsi="http://www.w3.org/2001/XMLSchema-instance" xsi:type="dcterms:W3CDTF">2026-07-13T14:51:09Z</dcterms:modified>
</cp:coreProperties>
</file>