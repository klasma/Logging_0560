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6405-2022</t>
        </is>
      </c>
      <c r="B2" t="inlineStr">
        <is>
          <t>samrådsanmälan</t>
        </is>
      </c>
      <c r="C2" t="inlineStr">
        <is>
          <t>Askåterföring</t>
        </is>
      </c>
      <c r="D2" s="1" t="n">
        <v>44875</v>
      </c>
      <c r="E2" s="1" t="n">
        <v>46223</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2">
        <f>HYPERLINK("https://klasma.github.io/Logging_0560/artfynd/S 6405-2022 artfynd.xlsx", "S 6405-2022")</f>
        <v/>
      </c>
      <c r="W2">
        <f>HYPERLINK("https://klasma.github.io/Logging_0560/kartor/S 6405-2022 karta.png", "S 6405-2022")</f>
        <v/>
      </c>
      <c r="X2">
        <f>HYPERLINK("https://klasma.github.io/Logging_0560/kartor_geotiff/S 6405-2022 georefererad karta.tif", "S 6405-2022")</f>
        <v/>
      </c>
      <c r="Y2">
        <f>HYPERLINK("https://klasma.github.io/Logging_0560/knärot/S 6405-2022 karta knärot.png", "S 6405-2022")</f>
        <v/>
      </c>
      <c r="Z2">
        <f>HYPERLINK("https://klasma.github.io/Logging_0560/klagomål/S 6405-2022 FSC-klagomål.docx", "S 6405-2022")</f>
        <v/>
      </c>
      <c r="AA2">
        <f>HYPERLINK("https://klasma.github.io/Logging_0560/klagomålsmail/S 6405-2022 FSC-klagomål mail.docx", "S 6405-2022")</f>
        <v/>
      </c>
      <c r="AB2">
        <f>HYPERLINK("https://klasma.github.io/Logging_0560/tillsyn/S 6405-2022 tillsynsbegäran.docx", "S 6405-2022")</f>
        <v/>
      </c>
      <c r="AC2">
        <f>HYPERLINK("https://klasma.github.io/Logging_0560/tillsynsmail/S 6405-2022 tillsynsbegäran mail.docx", "S 6405-2022")</f>
        <v/>
      </c>
      <c r="AD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46223</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3">
        <f>HYPERLINK("https://klasma.github.io/Logging_0560/artfynd/A 43468-2025 artfynd.xlsx", "A 43468-2025")</f>
        <v/>
      </c>
      <c r="W3">
        <f>HYPERLINK("https://klasma.github.io/Logging_0560/kartor/A 43468-2025 karta.png", "A 43468-2025")</f>
        <v/>
      </c>
      <c r="X3">
        <f>HYPERLINK("https://klasma.github.io/Logging_0560/kartor_geotiff/A 43468-2025 georefererad karta.tif", "A 43468-2025")</f>
        <v/>
      </c>
      <c r="Z3">
        <f>HYPERLINK("https://klasma.github.io/Logging_0560/klagomål/A 43468-2025 FSC-klagomål.docx", "A 43468-2025")</f>
        <v/>
      </c>
      <c r="AA3">
        <f>HYPERLINK("https://klasma.github.io/Logging_0560/klagomålsmail/A 43468-2025 FSC-klagomål mail.docx", "A 43468-2025")</f>
        <v/>
      </c>
      <c r="AB3">
        <f>HYPERLINK("https://klasma.github.io/Logging_0560/tillsyn/A 43468-2025 tillsynsbegäran.docx", "A 43468-2025")</f>
        <v/>
      </c>
      <c r="AC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46223</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s="2" t="inlineStr">
        <is>
          <t>Ärtvicker
Bredbrämad bastardsvärmare
Mindre bastardsvärmare
Smalsprötad bastardsvärmare
Bergjohannesört
Gullklöver
Klubbsprötad bastardsvärmare
Slåtterfibbla
Svinrot
Vippärt</t>
        </is>
      </c>
      <c r="V4">
        <f>HYPERLINK("https://klasma.github.io/Logging_0560/artfynd/S 2493-2025 artfynd.xlsx", "S 2493-2025")</f>
        <v/>
      </c>
      <c r="W4">
        <f>HYPERLINK("https://klasma.github.io/Logging_0560/kartor/S 2493-2025 karta.png", "S 2493-2025")</f>
        <v/>
      </c>
      <c r="X4">
        <f>HYPERLINK("https://klasma.github.io/Logging_0560/kartor_geotiff/S 2493-2025 georefererad karta.tif", "S 2493-2025")</f>
        <v/>
      </c>
      <c r="Z4">
        <f>HYPERLINK("https://klasma.github.io/Logging_0560/klagomål/S 2493-2025 FSC-klagomål.docx", "S 2493-2025")</f>
        <v/>
      </c>
      <c r="AA4">
        <f>HYPERLINK("https://klasma.github.io/Logging_0560/klagomålsmail/S 2493-2025 FSC-klagomål mail.docx", "S 2493-2025")</f>
        <v/>
      </c>
      <c r="AB4">
        <f>HYPERLINK("https://klasma.github.io/Logging_0560/tillsyn/S 2493-2025 tillsynsbegäran.docx", "S 2493-2025")</f>
        <v/>
      </c>
      <c r="AC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46223</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s="2" t="inlineStr">
        <is>
          <t>Grönfink
Gulsparv
Talltita
Spillkråka
Gröngöling
Grönsiska
Sångsvan
Revlummer</t>
        </is>
      </c>
      <c r="V5">
        <f>HYPERLINK("https://klasma.github.io/Logging_0560/artfynd/A 61791-2025 artfynd.xlsx", "A 61791-2025")</f>
        <v/>
      </c>
      <c r="W5">
        <f>HYPERLINK("https://klasma.github.io/Logging_0560/kartor/A 61791-2025 karta.png", "A 61791-2025")</f>
        <v/>
      </c>
      <c r="X5">
        <f>HYPERLINK("https://klasma.github.io/Logging_0560/kartor_geotiff/A 61791-2025 georefererad karta.tif", "A 61791-2025")</f>
        <v/>
      </c>
      <c r="Z5">
        <f>HYPERLINK("https://klasma.github.io/Logging_0560/klagomål/A 61791-2025 FSC-klagomål.docx", "A 61791-2025")</f>
        <v/>
      </c>
      <c r="AA5">
        <f>HYPERLINK("https://klasma.github.io/Logging_0560/klagomålsmail/A 61791-2025 FSC-klagomål mail.docx", "A 61791-2025")</f>
        <v/>
      </c>
      <c r="AB5">
        <f>HYPERLINK("https://klasma.github.io/Logging_0560/tillsyn/A 61791-2025 tillsynsbegäran.docx", "A 61791-2025")</f>
        <v/>
      </c>
      <c r="AC5">
        <f>HYPERLINK("https://klasma.github.io/Logging_0560/tillsynsmail/A 61791-2025 tillsynsbegäran mail.docx", "A 61791-2025")</f>
        <v/>
      </c>
      <c r="AD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46223</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s="2" t="inlineStr">
        <is>
          <t>Ask
Bredgentiana
Fältgentiana
Sommarfibbla
Svinrot
Svart trolldruva
Tibast
Blåsippa</t>
        </is>
      </c>
      <c r="V6">
        <f>HYPERLINK("https://klasma.github.io/Logging_0560/artfynd/S 6650-2022 artfynd.xlsx", "S 6650-2022")</f>
        <v/>
      </c>
      <c r="W6">
        <f>HYPERLINK("https://klasma.github.io/Logging_0560/kartor/S 6650-2022 karta.png", "S 6650-2022")</f>
        <v/>
      </c>
      <c r="X6">
        <f>HYPERLINK("https://klasma.github.io/Logging_0560/kartor_geotiff/S 6650-2022 georefererad karta.tif", "S 6650-2022")</f>
        <v/>
      </c>
      <c r="Z6">
        <f>HYPERLINK("https://klasma.github.io/Logging_0560/klagomål/S 6650-2022 FSC-klagomål.docx", "S 6650-2022")</f>
        <v/>
      </c>
      <c r="AA6">
        <f>HYPERLINK("https://klasma.github.io/Logging_0560/klagomålsmail/S 6650-2022 FSC-klagomål mail.docx", "S 6650-2022")</f>
        <v/>
      </c>
      <c r="AB6">
        <f>HYPERLINK("https://klasma.github.io/Logging_0560/tillsyn/S 6650-2022 tillsynsbegäran.docx", "S 6650-2022")</f>
        <v/>
      </c>
      <c r="AC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46223</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s="2" t="inlineStr">
        <is>
          <t>Ask
Gul dropplav
Oxtungssvamp
Fällmossa
Guldlockmossa
Platt fjädermossa
Blåsippa</t>
        </is>
      </c>
      <c r="V7">
        <f>HYPERLINK("https://klasma.github.io/Logging_0560/artfynd/A 62741-2025 artfynd.xlsx", "A 62741-2025")</f>
        <v/>
      </c>
      <c r="W7">
        <f>HYPERLINK("https://klasma.github.io/Logging_0560/kartor/A 62741-2025 karta.png", "A 62741-2025")</f>
        <v/>
      </c>
      <c r="X7">
        <f>HYPERLINK("https://klasma.github.io/Logging_0560/kartor_geotiff/A 62741-2025 georefererad karta.tif", "A 62741-2025")</f>
        <v/>
      </c>
      <c r="Z7">
        <f>HYPERLINK("https://klasma.github.io/Logging_0560/klagomål/A 62741-2025 FSC-klagomål.docx", "A 62741-2025")</f>
        <v/>
      </c>
      <c r="AA7">
        <f>HYPERLINK("https://klasma.github.io/Logging_0560/klagomålsmail/A 62741-2025 FSC-klagomål mail.docx", "A 62741-2025")</f>
        <v/>
      </c>
      <c r="AB7">
        <f>HYPERLINK("https://klasma.github.io/Logging_0560/tillsyn/A 62741-2025 tillsynsbegäran.docx", "A 62741-2025")</f>
        <v/>
      </c>
      <c r="AC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46223</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s="2" t="inlineStr">
        <is>
          <t>Ärtvicker
Bergjohannesört
Gullklöver
Slåtterfibbla
Svinrot
Vippärt</t>
        </is>
      </c>
      <c r="V8">
        <f>HYPERLINK("https://klasma.github.io/Logging_0560/artfynd/A 42147-2025 artfynd.xlsx", "A 42147-2025")</f>
        <v/>
      </c>
      <c r="W8">
        <f>HYPERLINK("https://klasma.github.io/Logging_0560/kartor/A 42147-2025 karta.png", "A 42147-2025")</f>
        <v/>
      </c>
      <c r="X8">
        <f>HYPERLINK("https://klasma.github.io/Logging_0560/kartor_geotiff/A 42147-2025 georefererad karta.tif", "A 42147-2025")</f>
        <v/>
      </c>
      <c r="Z8">
        <f>HYPERLINK("https://klasma.github.io/Logging_0560/klagomål/A 42147-2025 FSC-klagomål.docx", "A 42147-2025")</f>
        <v/>
      </c>
      <c r="AA8">
        <f>HYPERLINK("https://klasma.github.io/Logging_0560/klagomålsmail/A 42147-2025 FSC-klagomål mail.docx", "A 42147-2025")</f>
        <v/>
      </c>
      <c r="AB8">
        <f>HYPERLINK("https://klasma.github.io/Logging_0560/tillsyn/A 42147-2025 tillsynsbegäran.docx", "A 42147-2025")</f>
        <v/>
      </c>
      <c r="AC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46223</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s="2" t="inlineStr">
        <is>
          <t>Fällmossa
Grov fjädermossa
Platt fjädermossa
Tibast
Trädporella</t>
        </is>
      </c>
      <c r="V9">
        <f>HYPERLINK("https://klasma.github.io/Logging_0560/artfynd/A 11401-2024 artfynd.xlsx", "A 11401-2024")</f>
        <v/>
      </c>
      <c r="W9">
        <f>HYPERLINK("https://klasma.github.io/Logging_0560/kartor/A 11401-2024 karta.png", "A 11401-2024")</f>
        <v/>
      </c>
      <c r="X9">
        <f>HYPERLINK("https://klasma.github.io/Logging_0560/kartor_geotiff/A 11401-2024 georefererad karta.tif", "A 11401-2024")</f>
        <v/>
      </c>
      <c r="Z9">
        <f>HYPERLINK("https://klasma.github.io/Logging_0560/klagomål/A 11401-2024 FSC-klagomål.docx", "A 11401-2024")</f>
        <v/>
      </c>
      <c r="AA9">
        <f>HYPERLINK("https://klasma.github.io/Logging_0560/klagomålsmail/A 11401-2024 FSC-klagomål mail.docx", "A 11401-2024")</f>
        <v/>
      </c>
      <c r="AB9">
        <f>HYPERLINK("https://klasma.github.io/Logging_0560/tillsyn/A 11401-2024 tillsynsbegäran.docx", "A 11401-2024")</f>
        <v/>
      </c>
      <c r="AC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46223</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s="2" t="inlineStr">
        <is>
          <t>Svart trolldruva
Blåsippa
Grönvit nattviol
Revlummer</t>
        </is>
      </c>
      <c r="V10">
        <f>HYPERLINK("https://klasma.github.io/Logging_0560/artfynd/A 40119-2025 artfynd.xlsx", "A 40119-2025")</f>
        <v/>
      </c>
      <c r="W10">
        <f>HYPERLINK("https://klasma.github.io/Logging_0560/kartor/A 40119-2025 karta.png", "A 40119-2025")</f>
        <v/>
      </c>
      <c r="X10">
        <f>HYPERLINK("https://klasma.github.io/Logging_0560/kartor_geotiff/A 40119-2025 georefererad karta.tif", "A 40119-2025")</f>
        <v/>
      </c>
      <c r="Z10">
        <f>HYPERLINK("https://klasma.github.io/Logging_0560/klagomål/A 40119-2025 FSC-klagomål.docx", "A 40119-2025")</f>
        <v/>
      </c>
      <c r="AA10">
        <f>HYPERLINK("https://klasma.github.io/Logging_0560/klagomålsmail/A 40119-2025 FSC-klagomål mail.docx", "A 40119-2025")</f>
        <v/>
      </c>
      <c r="AB10">
        <f>HYPERLINK("https://klasma.github.io/Logging_0560/tillsyn/A 40119-2025 tillsynsbegäran.docx", "A 40119-2025")</f>
        <v/>
      </c>
      <c r="AC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46223</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s="2" t="inlineStr">
        <is>
          <t>Talltita
Kråka
Kungsfågel
Orre</t>
        </is>
      </c>
      <c r="V11">
        <f>HYPERLINK("https://klasma.github.io/Logging_0560/artfynd/A 61789-2025 artfynd.xlsx", "A 61789-2025")</f>
        <v/>
      </c>
      <c r="W11">
        <f>HYPERLINK("https://klasma.github.io/Logging_0560/kartor/A 61789-2025 karta.png", "A 61789-2025")</f>
        <v/>
      </c>
      <c r="X11">
        <f>HYPERLINK("https://klasma.github.io/Logging_0560/kartor_geotiff/A 61789-2025 georefererad karta.tif", "A 61789-2025")</f>
        <v/>
      </c>
      <c r="Z11">
        <f>HYPERLINK("https://klasma.github.io/Logging_0560/klagomål/A 61789-2025 FSC-klagomål.docx", "A 61789-2025")</f>
        <v/>
      </c>
      <c r="AA11">
        <f>HYPERLINK("https://klasma.github.io/Logging_0560/klagomålsmail/A 61789-2025 FSC-klagomål mail.docx", "A 61789-2025")</f>
        <v/>
      </c>
      <c r="AB11">
        <f>HYPERLINK("https://klasma.github.io/Logging_0560/tillsyn/A 61789-2025 tillsynsbegäran.docx", "A 61789-2025")</f>
        <v/>
      </c>
      <c r="AC11">
        <f>HYPERLINK("https://klasma.github.io/Logging_0560/tillsynsmail/A 61789-2025 tillsynsbegäran mail.docx", "A 61789-2025")</f>
        <v/>
      </c>
      <c r="AD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46223</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s="2" t="inlineStr">
        <is>
          <t>Skogsalm
Svinrot
Blåsippa
Gullviva</t>
        </is>
      </c>
      <c r="V12">
        <f>HYPERLINK("https://klasma.github.io/Logging_0560/artfynd/A 59418-2022 artfynd.xlsx", "A 59418-2022")</f>
        <v/>
      </c>
      <c r="W12">
        <f>HYPERLINK("https://klasma.github.io/Logging_0560/kartor/A 59418-2022 karta.png", "A 59418-2022")</f>
        <v/>
      </c>
      <c r="X12">
        <f>HYPERLINK("https://klasma.github.io/Logging_0560/kartor_geotiff/A 59418-2022 georefererad karta.tif", "A 59418-2022")</f>
        <v/>
      </c>
      <c r="Z12">
        <f>HYPERLINK("https://klasma.github.io/Logging_0560/klagomål/A 59418-2022 FSC-klagomål.docx", "A 59418-2022")</f>
        <v/>
      </c>
      <c r="AA12">
        <f>HYPERLINK("https://klasma.github.io/Logging_0560/klagomålsmail/A 59418-2022 FSC-klagomål mail.docx", "A 59418-2022")</f>
        <v/>
      </c>
      <c r="AB12">
        <f>HYPERLINK("https://klasma.github.io/Logging_0560/tillsyn/A 59418-2022 tillsynsbegäran.docx", "A 59418-2022")</f>
        <v/>
      </c>
      <c r="AC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46223</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s="2" t="inlineStr">
        <is>
          <t>Gammelekslav
Rosa skärelav
Skuggorangelav
Tallticka</t>
        </is>
      </c>
      <c r="V13">
        <f>HYPERLINK("https://klasma.github.io/Logging_0560/artfynd/S 2242-2025 artfynd.xlsx", "S 2242-2025")</f>
        <v/>
      </c>
      <c r="W13">
        <f>HYPERLINK("https://klasma.github.io/Logging_0560/kartor/S 2242-2025 karta.png", "S 2242-2025")</f>
        <v/>
      </c>
      <c r="X13">
        <f>HYPERLINK("https://klasma.github.io/Logging_0560/kartor_geotiff/S 2242-2025 georefererad karta.tif", "S 2242-2025")</f>
        <v/>
      </c>
      <c r="Z13">
        <f>HYPERLINK("https://klasma.github.io/Logging_0560/klagomål/S 2242-2025 FSC-klagomål.docx", "S 2242-2025")</f>
        <v/>
      </c>
      <c r="AA13">
        <f>HYPERLINK("https://klasma.github.io/Logging_0560/klagomålsmail/S 2242-2025 FSC-klagomål mail.docx", "S 2242-2025")</f>
        <v/>
      </c>
      <c r="AB13">
        <f>HYPERLINK("https://klasma.github.io/Logging_0560/tillsyn/S 2242-2025 tillsynsbegäran.docx", "S 2242-2025")</f>
        <v/>
      </c>
      <c r="AC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46223</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s="2" t="inlineStr">
        <is>
          <t>Hässleklocka
Svart trolldruva
Underviol</t>
        </is>
      </c>
      <c r="V14">
        <f>HYPERLINK("https://klasma.github.io/Logging_0560/artfynd/A 35665-2024 artfynd.xlsx", "A 35665-2024")</f>
        <v/>
      </c>
      <c r="W14">
        <f>HYPERLINK("https://klasma.github.io/Logging_0560/kartor/A 35665-2024 karta.png", "A 35665-2024")</f>
        <v/>
      </c>
      <c r="X14">
        <f>HYPERLINK("https://klasma.github.io/Logging_0560/kartor_geotiff/A 35665-2024 georefererad karta.tif", "A 35665-2024")</f>
        <v/>
      </c>
      <c r="Z14">
        <f>HYPERLINK("https://klasma.github.io/Logging_0560/klagomål/A 35665-2024 FSC-klagomål.docx", "A 35665-2024")</f>
        <v/>
      </c>
      <c r="AA14">
        <f>HYPERLINK("https://klasma.github.io/Logging_0560/klagomålsmail/A 35665-2024 FSC-klagomål mail.docx", "A 35665-2024")</f>
        <v/>
      </c>
      <c r="AB14">
        <f>HYPERLINK("https://klasma.github.io/Logging_0560/tillsyn/A 35665-2024 tillsynsbegäran.docx", "A 35665-2024")</f>
        <v/>
      </c>
      <c r="AC14">
        <f>HYPERLINK("https://klasma.github.io/Logging_0560/tillsynsmail/A 35665-2024 tillsynsbegäran mail.docx", "A 35665-2024")</f>
        <v/>
      </c>
    </row>
    <row r="15" ht="15" customHeight="1">
      <c r="A15" t="inlineStr">
        <is>
          <t>A 590-2026</t>
        </is>
      </c>
      <c r="B15" t="inlineStr">
        <is>
          <t>avverkningsanmälan</t>
        </is>
      </c>
      <c r="C15" t="inlineStr">
        <is>
          <t>Avverkning för att bevara och utveckla /försöksver</t>
        </is>
      </c>
      <c r="D15" s="1" t="n">
        <v>46029</v>
      </c>
      <c r="E15" s="1" t="n">
        <v>46223</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s="2" t="inlineStr">
        <is>
          <t>Fällmossa
Rostfläck
Svart trolldruva</t>
        </is>
      </c>
      <c r="V15">
        <f>HYPERLINK("https://klasma.github.io/Logging_0560/artfynd/A 590-2026 artfynd.xlsx", "A 590-2026")</f>
        <v/>
      </c>
      <c r="W15">
        <f>HYPERLINK("https://klasma.github.io/Logging_0560/kartor/A 590-2026 karta.png", "A 590-2026")</f>
        <v/>
      </c>
      <c r="X15">
        <f>HYPERLINK("https://klasma.github.io/Logging_0560/kartor_geotiff/A 590-2026 georefererad karta.tif", "A 590-2026")</f>
        <v/>
      </c>
      <c r="Z15">
        <f>HYPERLINK("https://klasma.github.io/Logging_0560/klagomål/A 590-2026 FSC-klagomål.docx", "A 590-2026")</f>
        <v/>
      </c>
      <c r="AA15">
        <f>HYPERLINK("https://klasma.github.io/Logging_0560/klagomålsmail/A 590-2026 FSC-klagomål mail.docx", "A 590-2026")</f>
        <v/>
      </c>
      <c r="AB15">
        <f>HYPERLINK("https://klasma.github.io/Logging_0560/tillsyn/A 590-2026 tillsynsbegäran.docx", "A 590-2026")</f>
        <v/>
      </c>
      <c r="AC15">
        <f>HYPERLINK("https://klasma.github.io/Logging_0560/tillsynsmail/A 590-2026 tillsynsbegäran mail.docx", "A 590-2026")</f>
        <v/>
      </c>
    </row>
    <row r="16" ht="15" customHeight="1">
      <c r="A16" t="inlineStr">
        <is>
          <t>A 62659-2025</t>
        </is>
      </c>
      <c r="B16" t="inlineStr">
        <is>
          <t>avverkningsanmälan</t>
        </is>
      </c>
      <c r="C16" t="inlineStr">
        <is>
          <t>Avverkning för att bevara och utveckla /försöksver</t>
        </is>
      </c>
      <c r="D16" s="1" t="n">
        <v>46008</v>
      </c>
      <c r="E16" s="1" t="n">
        <v>46223</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s="2" t="inlineStr">
        <is>
          <t>Fällmossa
Platt fjädermossa
Svart trolldruva</t>
        </is>
      </c>
      <c r="V16">
        <f>HYPERLINK("https://klasma.github.io/Logging_0560/artfynd/A 62659-2025 artfynd.xlsx", "A 62659-2025")</f>
        <v/>
      </c>
      <c r="W16">
        <f>HYPERLINK("https://klasma.github.io/Logging_0560/kartor/A 62659-2025 karta.png", "A 62659-2025")</f>
        <v/>
      </c>
      <c r="X16">
        <f>HYPERLINK("https://klasma.github.io/Logging_0560/kartor_geotiff/A 62659-2025 georefererad karta.tif", "A 62659-2025")</f>
        <v/>
      </c>
      <c r="Z16">
        <f>HYPERLINK("https://klasma.github.io/Logging_0560/klagomål/A 62659-2025 FSC-klagomål.docx", "A 62659-2025")</f>
        <v/>
      </c>
      <c r="AA16">
        <f>HYPERLINK("https://klasma.github.io/Logging_0560/klagomålsmail/A 62659-2025 FSC-klagomål mail.docx", "A 62659-2025")</f>
        <v/>
      </c>
      <c r="AB16">
        <f>HYPERLINK("https://klasma.github.io/Logging_0560/tillsyn/A 62659-2025 tillsynsbegäran.docx", "A 62659-2025")</f>
        <v/>
      </c>
      <c r="AC16">
        <f>HYPERLINK("https://klasma.github.io/Logging_0560/tillsynsmail/A 62659-2025 tillsynsbegäran mail.docx", "A 62659-2025")</f>
        <v/>
      </c>
    </row>
    <row r="17" ht="15" customHeight="1">
      <c r="A17" t="inlineStr">
        <is>
          <t>A 36575-2025</t>
        </is>
      </c>
      <c r="B17" t="inlineStr">
        <is>
          <t>avverkningsanmälan</t>
        </is>
      </c>
      <c r="C17" t="inlineStr">
        <is>
          <t>Avverkning för att bevara och utveckla /försöksver</t>
        </is>
      </c>
      <c r="D17" s="1" t="n">
        <v>45870</v>
      </c>
      <c r="E17" s="1" t="n">
        <v>46223</v>
      </c>
      <c r="F17" t="inlineStr">
        <is>
          <t>ÖSTERGÖTLANDS LÄN</t>
        </is>
      </c>
      <c r="G17" t="inlineStr">
        <is>
          <t>BOXHOLM</t>
        </is>
      </c>
      <c r="H17" t="inlineStr">
        <is>
          <t>Övriga Aktiebolag</t>
        </is>
      </c>
      <c r="I17" t="n">
        <v>5</v>
      </c>
      <c r="J17" t="n">
        <v>0</v>
      </c>
      <c r="K17" t="n">
        <v>0</v>
      </c>
      <c r="L17" t="n">
        <v>3</v>
      </c>
      <c r="M17" t="n">
        <v>0</v>
      </c>
      <c r="N17" t="n">
        <v>0</v>
      </c>
      <c r="O17" t="n">
        <v>0</v>
      </c>
      <c r="P17" t="n">
        <v>0</v>
      </c>
      <c r="Q17" t="n">
        <v>3</v>
      </c>
      <c r="R17" t="n">
        <v>0</v>
      </c>
      <c r="S17" t="n">
        <v>3</v>
      </c>
      <c r="T17" t="n">
        <v>12</v>
      </c>
      <c r="U17" s="2" t="inlineStr">
        <is>
          <t>Gammelekslav
Rosa skärelav
Skuggorangelav</t>
        </is>
      </c>
      <c r="V17">
        <f>HYPERLINK("https://klasma.github.io/Logging_0560/artfynd/A 36575-2025 artfynd.xlsx", "A 36575-2025")</f>
        <v/>
      </c>
      <c r="W17">
        <f>HYPERLINK("https://klasma.github.io/Logging_0560/kartor/A 36575-2025 karta.png", "A 36575-2025")</f>
        <v/>
      </c>
      <c r="X17">
        <f>HYPERLINK("https://klasma.github.io/Logging_0560/kartor_geotiff/A 36575-2025 georefererad karta.tif", "A 36575-2025")</f>
        <v/>
      </c>
      <c r="Z17">
        <f>HYPERLINK("https://klasma.github.io/Logging_0560/klagomål/A 36575-2025 FSC-klagomål.docx", "A 36575-2025")</f>
        <v/>
      </c>
      <c r="AA17">
        <f>HYPERLINK("https://klasma.github.io/Logging_0560/klagomålsmail/A 36575-2025 FSC-klagomål mail.docx", "A 36575-2025")</f>
        <v/>
      </c>
      <c r="AB17">
        <f>HYPERLINK("https://klasma.github.io/Logging_0560/tillsyn/A 36575-2025 tillsynsbegäran.docx", "A 36575-2025")</f>
        <v/>
      </c>
      <c r="AC17">
        <f>HYPERLINK("https://klasma.github.io/Logging_0560/tillsynsmail/A 36575-2025 tillsynsbegäran mail.docx", "A 36575-2025")</f>
        <v/>
      </c>
    </row>
    <row r="18" ht="15" customHeight="1">
      <c r="A18" t="inlineStr">
        <is>
          <t>A 62647-2025</t>
        </is>
      </c>
      <c r="B18" t="inlineStr">
        <is>
          <t>avverkningsanmälan</t>
        </is>
      </c>
      <c r="C18" t="inlineStr">
        <is>
          <t>Avverkning för att bevara och utveckla /försöksver</t>
        </is>
      </c>
      <c r="D18" s="1" t="n">
        <v>46008</v>
      </c>
      <c r="E18" s="1" t="n">
        <v>46223</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s="2" t="inlineStr">
        <is>
          <t>Lungrot
Fällmossa
Svart trolldruva</t>
        </is>
      </c>
      <c r="V18">
        <f>HYPERLINK("https://klasma.github.io/Logging_0560/artfynd/A 62647-2025 artfynd.xlsx", "A 62647-2025")</f>
        <v/>
      </c>
      <c r="W18">
        <f>HYPERLINK("https://klasma.github.io/Logging_0560/kartor/A 62647-2025 karta.png", "A 62647-2025")</f>
        <v/>
      </c>
      <c r="X18">
        <f>HYPERLINK("https://klasma.github.io/Logging_0560/kartor_geotiff/A 62647-2025 georefererad karta.tif", "A 62647-2025")</f>
        <v/>
      </c>
      <c r="Z18">
        <f>HYPERLINK("https://klasma.github.io/Logging_0560/klagomål/A 62647-2025 FSC-klagomål.docx", "A 62647-2025")</f>
        <v/>
      </c>
      <c r="AA18">
        <f>HYPERLINK("https://klasma.github.io/Logging_0560/klagomålsmail/A 62647-2025 FSC-klagomål mail.docx", "A 62647-2025")</f>
        <v/>
      </c>
      <c r="AB18">
        <f>HYPERLINK("https://klasma.github.io/Logging_0560/tillsyn/A 62647-2025 tillsynsbegäran.docx", "A 62647-2025")</f>
        <v/>
      </c>
      <c r="AC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46223</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s="2" t="inlineStr">
        <is>
          <t>Ask
Svart trolldruva
Blåsippa</t>
        </is>
      </c>
      <c r="V19">
        <f>HYPERLINK("https://klasma.github.io/Logging_0560/artfynd/A 19066-2026 artfynd.xlsx", "A 19066-2026")</f>
        <v/>
      </c>
      <c r="W19">
        <f>HYPERLINK("https://klasma.github.io/Logging_0560/kartor/A 19066-2026 karta.png", "A 19066-2026")</f>
        <v/>
      </c>
      <c r="X19">
        <f>HYPERLINK("https://klasma.github.io/Logging_0560/kartor_geotiff/A 19066-2026 georefererad karta.tif", "A 19066-2026")</f>
        <v/>
      </c>
      <c r="Z19">
        <f>HYPERLINK("https://klasma.github.io/Logging_0560/klagomål/A 19066-2026 FSC-klagomål.docx", "A 19066-2026")</f>
        <v/>
      </c>
      <c r="AA19">
        <f>HYPERLINK("https://klasma.github.io/Logging_0560/klagomålsmail/A 19066-2026 FSC-klagomål mail.docx", "A 19066-2026")</f>
        <v/>
      </c>
      <c r="AB19">
        <f>HYPERLINK("https://klasma.github.io/Logging_0560/tillsyn/A 19066-2026 tillsynsbegäran.docx", "A 19066-2026")</f>
        <v/>
      </c>
      <c r="AC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46223</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s="2" t="inlineStr">
        <is>
          <t>Grådådra
Gullklöver
Ängsskära</t>
        </is>
      </c>
      <c r="V20">
        <f>HYPERLINK("https://klasma.github.io/Logging_0560/artfynd/S 8363-2021 artfynd.xlsx", "S 8363-2021")</f>
        <v/>
      </c>
      <c r="W20">
        <f>HYPERLINK("https://klasma.github.io/Logging_0560/kartor/S 8363-2021 karta.png", "S 8363-2021")</f>
        <v/>
      </c>
      <c r="X20">
        <f>HYPERLINK("https://klasma.github.io/Logging_0560/kartor_geotiff/S 8363-2021 georefererad karta.tif", "S 8363-2021")</f>
        <v/>
      </c>
      <c r="Z20">
        <f>HYPERLINK("https://klasma.github.io/Logging_0560/klagomål/S 8363-2021 FSC-klagomål.docx", "S 8363-2021")</f>
        <v/>
      </c>
      <c r="AA20">
        <f>HYPERLINK("https://klasma.github.io/Logging_0560/klagomålsmail/S 8363-2021 FSC-klagomål mail.docx", "S 8363-2021")</f>
        <v/>
      </c>
      <c r="AB20">
        <f>HYPERLINK("https://klasma.github.io/Logging_0560/tillsyn/S 8363-2021 tillsynsbegäran.docx", "S 8363-2021")</f>
        <v/>
      </c>
      <c r="AC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46223</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s="2" t="inlineStr">
        <is>
          <t>Korallticka
Fällmossa
Stubbspretmossa</t>
        </is>
      </c>
      <c r="V21">
        <f>HYPERLINK("https://klasma.github.io/Logging_0560/artfynd/S 3422-2025 artfynd.xlsx", "S 3422-2025")</f>
        <v/>
      </c>
      <c r="W21">
        <f>HYPERLINK("https://klasma.github.io/Logging_0560/kartor/S 3422-2025 karta.png", "S 3422-2025")</f>
        <v/>
      </c>
      <c r="X21">
        <f>HYPERLINK("https://klasma.github.io/Logging_0560/kartor_geotiff/S 3422-2025 georefererad karta.tif", "S 3422-2025")</f>
        <v/>
      </c>
      <c r="Z21">
        <f>HYPERLINK("https://klasma.github.io/Logging_0560/klagomål/S 3422-2025 FSC-klagomål.docx", "S 3422-2025")</f>
        <v/>
      </c>
      <c r="AA21">
        <f>HYPERLINK("https://klasma.github.io/Logging_0560/klagomålsmail/S 3422-2025 FSC-klagomål mail.docx", "S 3422-2025")</f>
        <v/>
      </c>
      <c r="AB21">
        <f>HYPERLINK("https://klasma.github.io/Logging_0560/tillsyn/S 3422-2025 tillsynsbegäran.docx", "S 3422-2025")</f>
        <v/>
      </c>
      <c r="AC21">
        <f>HYPERLINK("https://klasma.github.io/Logging_0560/tillsynsmail/S 3422-2025 tillsynsbegäran mail.docx", "S 3422-2025")</f>
        <v/>
      </c>
    </row>
    <row r="22" ht="15" customHeight="1">
      <c r="A22" t="inlineStr">
        <is>
          <t>A 4004-2026</t>
        </is>
      </c>
      <c r="B22" t="inlineStr">
        <is>
          <t>avverkningsanmälan</t>
        </is>
      </c>
      <c r="C22" t="inlineStr">
        <is>
          <t>Föryngringsavverkning</t>
        </is>
      </c>
      <c r="D22" s="1" t="n">
        <v>46044</v>
      </c>
      <c r="E22" s="1" t="n">
        <v>46223</v>
      </c>
      <c r="F22" t="inlineStr">
        <is>
          <t>ÖSTERGÖTLANDS LÄN</t>
        </is>
      </c>
      <c r="G22" t="inlineStr">
        <is>
          <t>BOXHOLM</t>
        </is>
      </c>
      <c r="I22" t="n">
        <v>2.7</v>
      </c>
      <c r="J22" t="n">
        <v>1</v>
      </c>
      <c r="K22" t="n">
        <v>0</v>
      </c>
      <c r="L22" t="n">
        <v>0</v>
      </c>
      <c r="M22" t="n">
        <v>1</v>
      </c>
      <c r="N22" t="n">
        <v>0</v>
      </c>
      <c r="O22" t="n">
        <v>0</v>
      </c>
      <c r="P22" t="n">
        <v>0</v>
      </c>
      <c r="Q22" t="n">
        <v>1</v>
      </c>
      <c r="R22" t="n">
        <v>1</v>
      </c>
      <c r="S22" t="n">
        <v>2</v>
      </c>
      <c r="T22" t="n">
        <v>5</v>
      </c>
      <c r="U22" s="2" t="inlineStr">
        <is>
          <t>Krokfibbla
Blåsippa</t>
        </is>
      </c>
      <c r="V22">
        <f>HYPERLINK("https://klasma.github.io/Logging_0560/artfynd/A 4004-2026 artfynd.xlsx", "A 4004-2026")</f>
        <v/>
      </c>
      <c r="W22">
        <f>HYPERLINK("https://klasma.github.io/Logging_0560/kartor/A 4004-2026 karta.png", "A 4004-2026")</f>
        <v/>
      </c>
      <c r="X22">
        <f>HYPERLINK("https://klasma.github.io/Logging_0560/kartor_geotiff/A 4004-2026 georefererad karta.tif", "A 4004-2026")</f>
        <v/>
      </c>
      <c r="Z22">
        <f>HYPERLINK("https://klasma.github.io/Logging_0560/klagomål/A 4004-2026 FSC-klagomål.docx", "A 4004-2026")</f>
        <v/>
      </c>
      <c r="AA22">
        <f>HYPERLINK("https://klasma.github.io/Logging_0560/klagomålsmail/A 4004-2026 FSC-klagomål mail.docx", "A 4004-2026")</f>
        <v/>
      </c>
      <c r="AB22">
        <f>HYPERLINK("https://klasma.github.io/Logging_0560/tillsyn/A 4004-2026 tillsynsbegäran.docx", "A 4004-2026")</f>
        <v/>
      </c>
      <c r="AC22">
        <f>HYPERLINK("https://klasma.github.io/Logging_0560/tillsynsmail/A 4004-2026 tillsynsbegäran mail.docx", "A 4004-2026")</f>
        <v/>
      </c>
    </row>
    <row r="23" ht="15" customHeight="1">
      <c r="A23" t="inlineStr">
        <is>
          <t>A 61795-2025</t>
        </is>
      </c>
      <c r="B23" t="inlineStr">
        <is>
          <t>avverkningsanmälan</t>
        </is>
      </c>
      <c r="C23" t="inlineStr">
        <is>
          <t>Föryngringsavverkning</t>
        </is>
      </c>
      <c r="D23" s="1" t="n">
        <v>46002</v>
      </c>
      <c r="E23" s="1" t="n">
        <v>46223</v>
      </c>
      <c r="F23" t="inlineStr">
        <is>
          <t>ÖSTERGÖTLANDS LÄN</t>
        </is>
      </c>
      <c r="G23" t="inlineStr">
        <is>
          <t>BOXHOLM</t>
        </is>
      </c>
      <c r="H23" t="inlineStr">
        <is>
          <t>Allmännings- och besparingsskogar</t>
        </is>
      </c>
      <c r="I23" t="n">
        <v>10.3</v>
      </c>
      <c r="J23" t="n">
        <v>1</v>
      </c>
      <c r="K23" t="n">
        <v>0</v>
      </c>
      <c r="L23" t="n">
        <v>1</v>
      </c>
      <c r="M23" t="n">
        <v>1</v>
      </c>
      <c r="N23" t="n">
        <v>0</v>
      </c>
      <c r="O23" t="n">
        <v>0</v>
      </c>
      <c r="P23" t="n">
        <v>0</v>
      </c>
      <c r="Q23" t="n">
        <v>2</v>
      </c>
      <c r="R23" t="n">
        <v>1</v>
      </c>
      <c r="S23" t="n">
        <v>2</v>
      </c>
      <c r="T23" t="n">
        <v>5</v>
      </c>
      <c r="U23" s="2" t="inlineStr">
        <is>
          <t>Knärot
Kolflarnlav</t>
        </is>
      </c>
      <c r="V23">
        <f>HYPERLINK("https://klasma.github.io/Logging_0560/artfynd/A 61795-2025 artfynd.xlsx", "A 61795-2025")</f>
        <v/>
      </c>
      <c r="W23">
        <f>HYPERLINK("https://klasma.github.io/Logging_0560/kartor/A 61795-2025 karta.png", "A 61795-2025")</f>
        <v/>
      </c>
      <c r="X23">
        <f>HYPERLINK("https://klasma.github.io/Logging_0560/kartor_geotiff/A 61795-2025 georefererad karta.tif", "A 61795-2025")</f>
        <v/>
      </c>
      <c r="Y23">
        <f>HYPERLINK("https://klasma.github.io/Logging_0560/knärot/A 61795-2025 karta knärot.png", "A 61795-2025")</f>
        <v/>
      </c>
      <c r="Z23">
        <f>HYPERLINK("https://klasma.github.io/Logging_0560/klagomål/A 61795-2025 FSC-klagomål.docx", "A 61795-2025")</f>
        <v/>
      </c>
      <c r="AA23">
        <f>HYPERLINK("https://klasma.github.io/Logging_0560/klagomålsmail/A 61795-2025 FSC-klagomål mail.docx", "A 61795-2025")</f>
        <v/>
      </c>
      <c r="AB23">
        <f>HYPERLINK("https://klasma.github.io/Logging_0560/tillsyn/A 61795-2025 tillsynsbegäran.docx", "A 61795-2025")</f>
        <v/>
      </c>
      <c r="AC23">
        <f>HYPERLINK("https://klasma.github.io/Logging_0560/tillsynsmail/A 61795-2025 tillsynsbegäran mail.docx", "A 61795-2025")</f>
        <v/>
      </c>
    </row>
    <row r="24" ht="15" customHeight="1">
      <c r="A24" t="inlineStr">
        <is>
          <t>A 14785-2026</t>
        </is>
      </c>
      <c r="B24" t="inlineStr">
        <is>
          <t>avverkningsanmälan</t>
        </is>
      </c>
      <c r="C24" t="inlineStr">
        <is>
          <t>Avverkning för att bevara och utveckla /försöksver</t>
        </is>
      </c>
      <c r="D24" s="1" t="n">
        <v>46101</v>
      </c>
      <c r="E24" s="1" t="n">
        <v>46223</v>
      </c>
      <c r="F24" t="inlineStr">
        <is>
          <t>ÖSTERGÖTLANDS LÄN</t>
        </is>
      </c>
      <c r="G24" t="inlineStr">
        <is>
          <t>BOXHOLM</t>
        </is>
      </c>
      <c r="H24" t="inlineStr">
        <is>
          <t>Övriga Aktiebolag</t>
        </is>
      </c>
      <c r="I24" t="n">
        <v>1.7</v>
      </c>
      <c r="J24" t="n">
        <v>1</v>
      </c>
      <c r="K24" t="n">
        <v>0</v>
      </c>
      <c r="L24" t="n">
        <v>1</v>
      </c>
      <c r="M24" t="n">
        <v>0</v>
      </c>
      <c r="N24" t="n">
        <v>0</v>
      </c>
      <c r="O24" t="n">
        <v>0</v>
      </c>
      <c r="P24" t="n">
        <v>0</v>
      </c>
      <c r="Q24" t="n">
        <v>1</v>
      </c>
      <c r="R24" t="n">
        <v>0</v>
      </c>
      <c r="S24" t="n">
        <v>2</v>
      </c>
      <c r="T24" t="n">
        <v>2</v>
      </c>
      <c r="U24" s="2" t="inlineStr">
        <is>
          <t>Svinrot
Grönvit nattviol</t>
        </is>
      </c>
      <c r="V24">
        <f>HYPERLINK("https://klasma.github.io/Logging_0560/artfynd/A 14785-2026 artfynd.xlsx", "A 14785-2026")</f>
        <v/>
      </c>
      <c r="W24">
        <f>HYPERLINK("https://klasma.github.io/Logging_0560/kartor/A 14785-2026 karta.png", "A 14785-2026")</f>
        <v/>
      </c>
      <c r="X24">
        <f>HYPERLINK("https://klasma.github.io/Logging_0560/kartor_geotiff/A 14785-2026 georefererad karta.tif", "A 14785-2026")</f>
        <v/>
      </c>
      <c r="Z24">
        <f>HYPERLINK("https://klasma.github.io/Logging_0560/klagomål/A 14785-2026 FSC-klagomål.docx", "A 14785-2026")</f>
        <v/>
      </c>
      <c r="AA24">
        <f>HYPERLINK("https://klasma.github.io/Logging_0560/klagomålsmail/A 14785-2026 FSC-klagomål mail.docx", "A 14785-2026")</f>
        <v/>
      </c>
      <c r="AB24">
        <f>HYPERLINK("https://klasma.github.io/Logging_0560/tillsyn/A 14785-2026 tillsynsbegäran.docx", "A 14785-2026")</f>
        <v/>
      </c>
      <c r="AC24">
        <f>HYPERLINK("https://klasma.github.io/Logging_0560/tillsynsmail/A 14785-2026 tillsynsbegäran mail.docx", "A 14785-2026")</f>
        <v/>
      </c>
    </row>
    <row r="25" ht="15" customHeight="1">
      <c r="A25" t="inlineStr">
        <is>
          <t>A 26638-2023</t>
        </is>
      </c>
      <c r="B25" t="inlineStr">
        <is>
          <t>avverkningsanmälan</t>
        </is>
      </c>
      <c r="C25" t="inlineStr">
        <is>
          <t>Föryngringsavverkning</t>
        </is>
      </c>
      <c r="D25" s="1" t="n">
        <v>45092</v>
      </c>
      <c r="E25" s="1" t="n">
        <v>46223</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s="2" t="inlineStr">
        <is>
          <t>Ullticka
Vedtrappmossa</t>
        </is>
      </c>
      <c r="V25">
        <f>HYPERLINK("https://klasma.github.io/Logging_0560/artfynd/A 26638-2023 artfynd.xlsx", "A 26638-2023")</f>
        <v/>
      </c>
      <c r="W25">
        <f>HYPERLINK("https://klasma.github.io/Logging_0560/kartor/A 26638-2023 karta.png", "A 26638-2023")</f>
        <v/>
      </c>
      <c r="X25">
        <f>HYPERLINK("https://klasma.github.io/Logging_0560/kartor_geotiff/A 26638-2023 georefererad karta.tif", "A 26638-2023")</f>
        <v/>
      </c>
      <c r="Z25">
        <f>HYPERLINK("https://klasma.github.io/Logging_0560/klagomål/A 26638-2023 FSC-klagomål.docx", "A 26638-2023")</f>
        <v/>
      </c>
      <c r="AA25">
        <f>HYPERLINK("https://klasma.github.io/Logging_0560/klagomålsmail/A 26638-2023 FSC-klagomål mail.docx", "A 26638-2023")</f>
        <v/>
      </c>
      <c r="AB25">
        <f>HYPERLINK("https://klasma.github.io/Logging_0560/tillsyn/A 26638-2023 tillsynsbegäran.docx", "A 26638-2023")</f>
        <v/>
      </c>
      <c r="AC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46223</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s="2" t="inlineStr">
        <is>
          <t>Hasselmus
Orre</t>
        </is>
      </c>
      <c r="V26">
        <f>HYPERLINK("https://klasma.github.io/Logging_0560/artfynd/A 26907-2022 artfynd.xlsx", "A 26907-2022")</f>
        <v/>
      </c>
      <c r="W26">
        <f>HYPERLINK("https://klasma.github.io/Logging_0560/kartor/A 26907-2022 karta.png", "A 26907-2022")</f>
        <v/>
      </c>
      <c r="X26">
        <f>HYPERLINK("https://klasma.github.io/Logging_0560/kartor_geotiff/A 26907-2022 georefererad karta.tif", "A 26907-2022")</f>
        <v/>
      </c>
      <c r="Z26">
        <f>HYPERLINK("https://klasma.github.io/Logging_0560/klagomål/A 26907-2022 FSC-klagomål.docx", "A 26907-2022")</f>
        <v/>
      </c>
      <c r="AA26">
        <f>HYPERLINK("https://klasma.github.io/Logging_0560/klagomålsmail/A 26907-2022 FSC-klagomål mail.docx", "A 26907-2022")</f>
        <v/>
      </c>
      <c r="AB26">
        <f>HYPERLINK("https://klasma.github.io/Logging_0560/tillsyn/A 26907-2022 tillsynsbegäran.docx", "A 26907-2022")</f>
        <v/>
      </c>
      <c r="AC26">
        <f>HYPERLINK("https://klasma.github.io/Logging_0560/tillsynsmail/A 26907-2022 tillsynsbegäran mail.docx", "A 26907-2022")</f>
        <v/>
      </c>
      <c r="AD26">
        <f>HYPERLINK("https://klasma.github.io/Logging_0560/fåglar/A 26907-2022 prioriterade fågelarter.docx", "A 26907-2022")</f>
        <v/>
      </c>
    </row>
    <row r="27" ht="15" customHeight="1">
      <c r="A27" t="inlineStr">
        <is>
          <t>A 40509-2023</t>
        </is>
      </c>
      <c r="B27" t="inlineStr">
        <is>
          <t>avverkningsanmälan</t>
        </is>
      </c>
      <c r="C27" t="inlineStr">
        <is>
          <t>Föryngringsavverkning</t>
        </is>
      </c>
      <c r="D27" s="1" t="n">
        <v>45170</v>
      </c>
      <c r="E27" s="1" t="n">
        <v>46223</v>
      </c>
      <c r="F27" t="inlineStr">
        <is>
          <t>ÖSTERGÖTLANDS LÄN</t>
        </is>
      </c>
      <c r="G27" t="inlineStr">
        <is>
          <t>BOXHOLM</t>
        </is>
      </c>
      <c r="H27" t="inlineStr">
        <is>
          <t>Kyrkan</t>
        </is>
      </c>
      <c r="I27" t="n">
        <v>3.4</v>
      </c>
      <c r="J27" t="n">
        <v>1</v>
      </c>
      <c r="K27" t="n">
        <v>1</v>
      </c>
      <c r="L27" t="n">
        <v>0</v>
      </c>
      <c r="M27" t="n">
        <v>0</v>
      </c>
      <c r="N27" t="n">
        <v>0</v>
      </c>
      <c r="O27" t="n">
        <v>0</v>
      </c>
      <c r="P27" t="n">
        <v>0</v>
      </c>
      <c r="Q27" t="n">
        <v>0</v>
      </c>
      <c r="R27" t="n">
        <v>0</v>
      </c>
      <c r="S27" t="n">
        <v>2</v>
      </c>
      <c r="T27" t="n">
        <v>2</v>
      </c>
      <c r="U27" s="2" t="inlineStr">
        <is>
          <t>Fällmossa
Blåsippa</t>
        </is>
      </c>
      <c r="V27">
        <f>HYPERLINK("https://klasma.github.io/Logging_0560/artfynd/A 40509-2023 artfynd.xlsx", "A 40509-2023")</f>
        <v/>
      </c>
      <c r="W27">
        <f>HYPERLINK("https://klasma.github.io/Logging_0560/kartor/A 40509-2023 karta.png", "A 40509-2023")</f>
        <v/>
      </c>
      <c r="X27">
        <f>HYPERLINK("https://klasma.github.io/Logging_0560/kartor_geotiff/A 40509-2023 georefererad karta.tif", "A 40509-2023")</f>
        <v/>
      </c>
      <c r="Z27">
        <f>HYPERLINK("https://klasma.github.io/Logging_0560/klagomål/A 40509-2023 FSC-klagomål.docx", "A 40509-2023")</f>
        <v/>
      </c>
      <c r="AA27">
        <f>HYPERLINK("https://klasma.github.io/Logging_0560/klagomålsmail/A 40509-2023 FSC-klagomål mail.docx", "A 40509-2023")</f>
        <v/>
      </c>
      <c r="AB27">
        <f>HYPERLINK("https://klasma.github.io/Logging_0560/tillsyn/A 40509-2023 tillsynsbegäran.docx", "A 40509-2023")</f>
        <v/>
      </c>
      <c r="AC27">
        <f>HYPERLINK("https://klasma.github.io/Logging_0560/tillsynsmail/A 40509-2023 tillsynsbegäran mail.docx", "A 40509-2023")</f>
        <v/>
      </c>
    </row>
    <row r="28" ht="15" customHeight="1">
      <c r="A28" t="inlineStr">
        <is>
          <t>A 16755-2022</t>
        </is>
      </c>
      <c r="B28" t="inlineStr">
        <is>
          <t>avverkningsanmälan</t>
        </is>
      </c>
      <c r="C28" t="inlineStr">
        <is>
          <t>Föryngringsavverkning</t>
        </is>
      </c>
      <c r="D28" s="1" t="n">
        <v>44673</v>
      </c>
      <c r="E28" s="1" t="n">
        <v>46223</v>
      </c>
      <c r="F28" t="inlineStr">
        <is>
          <t>ÖSTERGÖTLANDS LÄN</t>
        </is>
      </c>
      <c r="G28" t="inlineStr">
        <is>
          <t>BOXHOLM</t>
        </is>
      </c>
      <c r="I28" t="n">
        <v>0.5</v>
      </c>
      <c r="J28" t="n">
        <v>0</v>
      </c>
      <c r="K28" t="n">
        <v>0</v>
      </c>
      <c r="L28" t="n">
        <v>1</v>
      </c>
      <c r="M28" t="n">
        <v>0</v>
      </c>
      <c r="N28" t="n">
        <v>0</v>
      </c>
      <c r="O28" t="n">
        <v>0</v>
      </c>
      <c r="P28" t="n">
        <v>0</v>
      </c>
      <c r="Q28" t="n">
        <v>1</v>
      </c>
      <c r="R28" t="n">
        <v>0</v>
      </c>
      <c r="S28" t="n">
        <v>1</v>
      </c>
      <c r="T28" t="n">
        <v>1</v>
      </c>
      <c r="U28" s="2" t="inlineStr">
        <is>
          <t>Sommarfibbla</t>
        </is>
      </c>
      <c r="V28">
        <f>HYPERLINK("https://klasma.github.io/Logging_0560/artfynd/A 16755-2022 artfynd.xlsx", "A 16755-2022")</f>
        <v/>
      </c>
      <c r="W28">
        <f>HYPERLINK("https://klasma.github.io/Logging_0560/kartor/A 16755-2022 karta.png", "A 16755-2022")</f>
        <v/>
      </c>
      <c r="X28">
        <f>HYPERLINK("https://klasma.github.io/Logging_0560/kartor_geotiff/A 16755-2022 georefererad karta.tif", "A 16755-2022")</f>
        <v/>
      </c>
      <c r="Z28">
        <f>HYPERLINK("https://klasma.github.io/Logging_0560/klagomål/A 16755-2022 FSC-klagomål.docx", "A 16755-2022")</f>
        <v/>
      </c>
      <c r="AA28">
        <f>HYPERLINK("https://klasma.github.io/Logging_0560/klagomålsmail/A 16755-2022 FSC-klagomål mail.docx", "A 16755-2022")</f>
        <v/>
      </c>
      <c r="AB28">
        <f>HYPERLINK("https://klasma.github.io/Logging_0560/tillsyn/A 16755-2022 tillsynsbegäran.docx", "A 16755-2022")</f>
        <v/>
      </c>
      <c r="AC28">
        <f>HYPERLINK("https://klasma.github.io/Logging_0560/tillsynsmail/A 16755-2022 tillsynsbegäran mail.docx", "A 16755-2022")</f>
        <v/>
      </c>
    </row>
    <row r="29" ht="15" customHeight="1">
      <c r="A29" t="inlineStr">
        <is>
          <t>A 10733-2024</t>
        </is>
      </c>
      <c r="B29" t="inlineStr">
        <is>
          <t>avverkningsanmälan</t>
        </is>
      </c>
      <c r="C29" t="inlineStr">
        <is>
          <t>Föryngringsavverkning</t>
        </is>
      </c>
      <c r="D29" s="1" t="n">
        <v>45369</v>
      </c>
      <c r="E29" s="1" t="n">
        <v>46223</v>
      </c>
      <c r="F29" t="inlineStr">
        <is>
          <t>ÖSTERGÖTLANDS LÄN</t>
        </is>
      </c>
      <c r="G29" t="inlineStr">
        <is>
          <t>BOXHOLM</t>
        </is>
      </c>
      <c r="I29" t="n">
        <v>1.8</v>
      </c>
      <c r="J29" t="n">
        <v>1</v>
      </c>
      <c r="K29" t="n">
        <v>0</v>
      </c>
      <c r="L29" t="n">
        <v>0</v>
      </c>
      <c r="M29" t="n">
        <v>1</v>
      </c>
      <c r="N29" t="n">
        <v>0</v>
      </c>
      <c r="O29" t="n">
        <v>0</v>
      </c>
      <c r="P29" t="n">
        <v>0</v>
      </c>
      <c r="Q29" t="n">
        <v>1</v>
      </c>
      <c r="R29" t="n">
        <v>1</v>
      </c>
      <c r="S29" t="n">
        <v>1</v>
      </c>
      <c r="T29" t="n">
        <v>2</v>
      </c>
      <c r="U29" s="2" t="inlineStr">
        <is>
          <t>Knärot</t>
        </is>
      </c>
      <c r="V29">
        <f>HYPERLINK("https://klasma.github.io/Logging_0560/artfynd/A 10733-2024 artfynd.xlsx", "A 10733-2024")</f>
        <v/>
      </c>
      <c r="W29">
        <f>HYPERLINK("https://klasma.github.io/Logging_0560/kartor/A 10733-2024 karta.png", "A 10733-2024")</f>
        <v/>
      </c>
      <c r="X29">
        <f>HYPERLINK("https://klasma.github.io/Logging_0560/kartor_geotiff/A 10733-2024 georefererad karta.tif", "A 10733-2024")</f>
        <v/>
      </c>
      <c r="Y29">
        <f>HYPERLINK("https://klasma.github.io/Logging_0560/knärot/A 10733-2024 karta knärot.png", "A 10733-2024")</f>
        <v/>
      </c>
      <c r="Z29">
        <f>HYPERLINK("https://klasma.github.io/Logging_0560/klagomål/A 10733-2024 FSC-klagomål.docx", "A 10733-2024")</f>
        <v/>
      </c>
      <c r="AA29">
        <f>HYPERLINK("https://klasma.github.io/Logging_0560/klagomålsmail/A 10733-2024 FSC-klagomål mail.docx", "A 10733-2024")</f>
        <v/>
      </c>
      <c r="AB29">
        <f>HYPERLINK("https://klasma.github.io/Logging_0560/tillsyn/A 10733-2024 tillsynsbegäran.docx", "A 10733-2024")</f>
        <v/>
      </c>
      <c r="AC29">
        <f>HYPERLINK("https://klasma.github.io/Logging_0560/tillsynsmail/A 10733-2024 tillsynsbegäran mail.docx", "A 10733-2024")</f>
        <v/>
      </c>
    </row>
    <row r="30" ht="15" customHeight="1">
      <c r="A30" t="inlineStr">
        <is>
          <t>A 43578-2025</t>
        </is>
      </c>
      <c r="B30" t="inlineStr">
        <is>
          <t>avverkningsanmälan</t>
        </is>
      </c>
      <c r="C30" t="inlineStr">
        <is>
          <t>Föryngringsavverkning</t>
        </is>
      </c>
      <c r="D30" s="1" t="n">
        <v>45911</v>
      </c>
      <c r="E30" s="1" t="n">
        <v>46223</v>
      </c>
      <c r="F30" t="inlineStr">
        <is>
          <t>ÖSTERGÖTLANDS LÄN</t>
        </is>
      </c>
      <c r="G30" t="inlineStr">
        <is>
          <t>BOXHOLM</t>
        </is>
      </c>
      <c r="I30" t="n">
        <v>3</v>
      </c>
      <c r="J30" t="n">
        <v>0</v>
      </c>
      <c r="K30" t="n">
        <v>0</v>
      </c>
      <c r="L30" t="n">
        <v>1</v>
      </c>
      <c r="M30" t="n">
        <v>0</v>
      </c>
      <c r="N30" t="n">
        <v>0</v>
      </c>
      <c r="O30" t="n">
        <v>0</v>
      </c>
      <c r="P30" t="n">
        <v>0</v>
      </c>
      <c r="Q30" t="n">
        <v>1</v>
      </c>
      <c r="R30" t="n">
        <v>0</v>
      </c>
      <c r="S30" t="n">
        <v>1</v>
      </c>
      <c r="T30" t="n">
        <v>1</v>
      </c>
      <c r="U30" s="2" t="inlineStr">
        <is>
          <t>Grynig filtlav</t>
        </is>
      </c>
      <c r="V30">
        <f>HYPERLINK("https://klasma.github.io/Logging_0560/artfynd/A 43578-2025 artfynd.xlsx", "A 43578-2025")</f>
        <v/>
      </c>
      <c r="W30">
        <f>HYPERLINK("https://klasma.github.io/Logging_0560/kartor/A 43578-2025 karta.png", "A 43578-2025")</f>
        <v/>
      </c>
      <c r="X30">
        <f>HYPERLINK("https://klasma.github.io/Logging_0560/kartor_geotiff/A 43578-2025 georefererad karta.tif", "A 43578-2025")</f>
        <v/>
      </c>
      <c r="Z30">
        <f>HYPERLINK("https://klasma.github.io/Logging_0560/klagomål/A 43578-2025 FSC-klagomål.docx", "A 43578-2025")</f>
        <v/>
      </c>
      <c r="AA30">
        <f>HYPERLINK("https://klasma.github.io/Logging_0560/klagomålsmail/A 43578-2025 FSC-klagomål mail.docx", "A 43578-2025")</f>
        <v/>
      </c>
      <c r="AB30">
        <f>HYPERLINK("https://klasma.github.io/Logging_0560/tillsyn/A 43578-2025 tillsynsbegäran.docx", "A 43578-2025")</f>
        <v/>
      </c>
      <c r="AC30">
        <f>HYPERLINK("https://klasma.github.io/Logging_0560/tillsynsmail/A 43578-2025 tillsynsbegäran mail.docx", "A 43578-2025")</f>
        <v/>
      </c>
    </row>
    <row r="31" ht="15" customHeight="1">
      <c r="A31" t="inlineStr">
        <is>
          <t>A 2669-2022</t>
        </is>
      </c>
      <c r="B31" t="inlineStr">
        <is>
          <t>avverkningsanmälan</t>
        </is>
      </c>
      <c r="C31" t="inlineStr">
        <is>
          <t>Föryngringsavverkning</t>
        </is>
      </c>
      <c r="D31" s="1" t="n">
        <v>44580</v>
      </c>
      <c r="E31" s="1" t="n">
        <v>46223</v>
      </c>
      <c r="F31" t="inlineStr">
        <is>
          <t>ÖSTERGÖTLANDS LÄN</t>
        </is>
      </c>
      <c r="G31" t="inlineStr">
        <is>
          <t>BOXHOLM</t>
        </is>
      </c>
      <c r="I31" t="n">
        <v>2.3</v>
      </c>
      <c r="J31" t="n">
        <v>0</v>
      </c>
      <c r="K31" t="n">
        <v>0</v>
      </c>
      <c r="L31" t="n">
        <v>1</v>
      </c>
      <c r="M31" t="n">
        <v>0</v>
      </c>
      <c r="N31" t="n">
        <v>0</v>
      </c>
      <c r="O31" t="n">
        <v>0</v>
      </c>
      <c r="P31" t="n">
        <v>0</v>
      </c>
      <c r="Q31" t="n">
        <v>1</v>
      </c>
      <c r="R31" t="n">
        <v>0</v>
      </c>
      <c r="S31" t="n">
        <v>1</v>
      </c>
      <c r="T31" t="n">
        <v>2</v>
      </c>
      <c r="U31" s="2" t="inlineStr">
        <is>
          <t>Sommarfibbla</t>
        </is>
      </c>
      <c r="V31">
        <f>HYPERLINK("https://klasma.github.io/Logging_0560/artfynd/A 2669-2022 artfynd.xlsx", "A 2669-2022")</f>
        <v/>
      </c>
      <c r="W31">
        <f>HYPERLINK("https://klasma.github.io/Logging_0560/kartor/A 2669-2022 karta.png", "A 2669-2022")</f>
        <v/>
      </c>
      <c r="X31">
        <f>HYPERLINK("https://klasma.github.io/Logging_0560/kartor_geotiff/A 2669-2022 georefererad karta.tif", "A 2669-2022")</f>
        <v/>
      </c>
      <c r="Z31">
        <f>HYPERLINK("https://klasma.github.io/Logging_0560/klagomål/A 2669-2022 FSC-klagomål.docx", "A 2669-2022")</f>
        <v/>
      </c>
      <c r="AA31">
        <f>HYPERLINK("https://klasma.github.io/Logging_0560/klagomålsmail/A 2669-2022 FSC-klagomål mail.docx", "A 2669-2022")</f>
        <v/>
      </c>
      <c r="AB31">
        <f>HYPERLINK("https://klasma.github.io/Logging_0560/tillsyn/A 2669-2022 tillsynsbegäran.docx", "A 2669-2022")</f>
        <v/>
      </c>
      <c r="AC31">
        <f>HYPERLINK("https://klasma.github.io/Logging_0560/tillsynsmail/A 2669-2022 tillsynsbegäran mail.docx", "A 2669-2022")</f>
        <v/>
      </c>
    </row>
    <row r="32" ht="15" customHeight="1">
      <c r="A32" t="inlineStr">
        <is>
          <t>A 36475-2025</t>
        </is>
      </c>
      <c r="B32" t="inlineStr">
        <is>
          <t>avverkningsanmälan</t>
        </is>
      </c>
      <c r="C32" t="inlineStr">
        <is>
          <t>Föryngringsavverkning</t>
        </is>
      </c>
      <c r="D32" s="1" t="n">
        <v>45869</v>
      </c>
      <c r="E32" s="1" t="n">
        <v>46223</v>
      </c>
      <c r="F32" t="inlineStr">
        <is>
          <t>ÖSTERGÖTLANDS LÄN</t>
        </is>
      </c>
      <c r="G32" t="inlineStr">
        <is>
          <t>BOXHOLM</t>
        </is>
      </c>
      <c r="H32" t="inlineStr">
        <is>
          <t>Övriga Aktiebolag</t>
        </is>
      </c>
      <c r="I32" t="n">
        <v>2.1</v>
      </c>
      <c r="J32" t="n">
        <v>0</v>
      </c>
      <c r="K32" t="n">
        <v>1</v>
      </c>
      <c r="L32" t="n">
        <v>0</v>
      </c>
      <c r="M32" t="n">
        <v>0</v>
      </c>
      <c r="N32" t="n">
        <v>0</v>
      </c>
      <c r="O32" t="n">
        <v>0</v>
      </c>
      <c r="P32" t="n">
        <v>0</v>
      </c>
      <c r="Q32" t="n">
        <v>0</v>
      </c>
      <c r="R32" t="n">
        <v>0</v>
      </c>
      <c r="S32" t="n">
        <v>1</v>
      </c>
      <c r="T32" t="n">
        <v>2</v>
      </c>
      <c r="U32" s="2" t="inlineStr">
        <is>
          <t>Tibast</t>
        </is>
      </c>
      <c r="V32">
        <f>HYPERLINK("https://klasma.github.io/Logging_0560/artfynd/A 36475-2025 artfynd.xlsx", "A 36475-2025")</f>
        <v/>
      </c>
      <c r="W32">
        <f>HYPERLINK("https://klasma.github.io/Logging_0560/kartor/A 36475-2025 karta.png", "A 36475-2025")</f>
        <v/>
      </c>
      <c r="X32">
        <f>HYPERLINK("https://klasma.github.io/Logging_0560/kartor_geotiff/A 36475-2025 georefererad karta.tif", "A 36475-2025")</f>
        <v/>
      </c>
      <c r="Z32">
        <f>HYPERLINK("https://klasma.github.io/Logging_0560/klagomål/A 36475-2025 FSC-klagomål.docx", "A 36475-2025")</f>
        <v/>
      </c>
      <c r="AA32">
        <f>HYPERLINK("https://klasma.github.io/Logging_0560/klagomålsmail/A 36475-2025 FSC-klagomål mail.docx", "A 36475-2025")</f>
        <v/>
      </c>
      <c r="AB32">
        <f>HYPERLINK("https://klasma.github.io/Logging_0560/tillsyn/A 36475-2025 tillsynsbegäran.docx", "A 36475-2025")</f>
        <v/>
      </c>
      <c r="AC32">
        <f>HYPERLINK("https://klasma.github.io/Logging_0560/tillsynsmail/A 36475-2025 tillsynsbegäran mail.docx", "A 36475-2025")</f>
        <v/>
      </c>
    </row>
    <row r="33" ht="15" customHeight="1">
      <c r="A33" t="inlineStr">
        <is>
          <t>A 44823-2023</t>
        </is>
      </c>
      <c r="B33" t="inlineStr">
        <is>
          <t>avverkningsanmälan</t>
        </is>
      </c>
      <c r="C33" t="inlineStr">
        <is>
          <t>Föryngringsavverkning</t>
        </is>
      </c>
      <c r="D33" s="1" t="n">
        <v>45190</v>
      </c>
      <c r="E33" s="1" t="n">
        <v>46223</v>
      </c>
      <c r="F33" t="inlineStr">
        <is>
          <t>ÖSTERGÖTLANDS LÄN</t>
        </is>
      </c>
      <c r="G33" t="inlineStr">
        <is>
          <t>BOXHOLM</t>
        </is>
      </c>
      <c r="H33" t="inlineStr">
        <is>
          <t>Allmännings- och besparingsskogar</t>
        </is>
      </c>
      <c r="I33" t="n">
        <v>8.4</v>
      </c>
      <c r="J33" t="n">
        <v>0</v>
      </c>
      <c r="K33" t="n">
        <v>0</v>
      </c>
      <c r="L33" t="n">
        <v>1</v>
      </c>
      <c r="M33" t="n">
        <v>0</v>
      </c>
      <c r="N33" t="n">
        <v>0</v>
      </c>
      <c r="O33" t="n">
        <v>0</v>
      </c>
      <c r="P33" t="n">
        <v>0</v>
      </c>
      <c r="Q33" t="n">
        <v>1</v>
      </c>
      <c r="R33" t="n">
        <v>0</v>
      </c>
      <c r="S33" t="n">
        <v>1</v>
      </c>
      <c r="T33" t="n">
        <v>2</v>
      </c>
      <c r="U33" s="2" t="inlineStr">
        <is>
          <t>Kalkkärrsgrynsnäcka</t>
        </is>
      </c>
      <c r="V33">
        <f>HYPERLINK("https://klasma.github.io/Logging_0560/artfynd/A 44823-2023 artfynd.xlsx", "A 44823-2023")</f>
        <v/>
      </c>
      <c r="W33">
        <f>HYPERLINK("https://klasma.github.io/Logging_0560/kartor/A 44823-2023 karta.png", "A 44823-2023")</f>
        <v/>
      </c>
      <c r="X33">
        <f>HYPERLINK("https://klasma.github.io/Logging_0560/kartor_geotiff/A 44823-2023 georefererad karta.tif", "A 44823-2023")</f>
        <v/>
      </c>
      <c r="Z33">
        <f>HYPERLINK("https://klasma.github.io/Logging_0560/klagomål/A 44823-2023 FSC-klagomål.docx", "A 44823-2023")</f>
        <v/>
      </c>
      <c r="AA33">
        <f>HYPERLINK("https://klasma.github.io/Logging_0560/klagomålsmail/A 44823-2023 FSC-klagomål mail.docx", "A 44823-2023")</f>
        <v/>
      </c>
      <c r="AB33">
        <f>HYPERLINK("https://klasma.github.io/Logging_0560/tillsyn/A 44823-2023 tillsynsbegäran.docx", "A 44823-2023")</f>
        <v/>
      </c>
      <c r="AC33">
        <f>HYPERLINK("https://klasma.github.io/Logging_0560/tillsynsmail/A 44823-2023 tillsynsbegäran mail.docx", "A 44823-2023")</f>
        <v/>
      </c>
    </row>
    <row r="34" ht="15" customHeight="1">
      <c r="A34" t="inlineStr">
        <is>
          <t>A 5001-2022</t>
        </is>
      </c>
      <c r="B34" t="inlineStr">
        <is>
          <t>avverkningsanmälan</t>
        </is>
      </c>
      <c r="C34" t="inlineStr">
        <is>
          <t>Föryngringsavverkning</t>
        </is>
      </c>
      <c r="D34" s="1" t="n">
        <v>44593</v>
      </c>
      <c r="E34" s="1" t="n">
        <v>46223</v>
      </c>
      <c r="F34" t="inlineStr">
        <is>
          <t>ÖSTERGÖTLANDS LÄN</t>
        </is>
      </c>
      <c r="G34" t="inlineStr">
        <is>
          <t>BOXHOLM</t>
        </is>
      </c>
      <c r="H34" t="inlineStr">
        <is>
          <t>Övriga Aktiebolag</t>
        </is>
      </c>
      <c r="I34" t="n">
        <v>7.9</v>
      </c>
      <c r="J34" t="n">
        <v>0</v>
      </c>
      <c r="K34" t="n">
        <v>0</v>
      </c>
      <c r="L34" t="n">
        <v>1</v>
      </c>
      <c r="M34" t="n">
        <v>0</v>
      </c>
      <c r="N34" t="n">
        <v>0</v>
      </c>
      <c r="O34" t="n">
        <v>0</v>
      </c>
      <c r="P34" t="n">
        <v>0</v>
      </c>
      <c r="Q34" t="n">
        <v>1</v>
      </c>
      <c r="R34" t="n">
        <v>0</v>
      </c>
      <c r="S34" t="n">
        <v>1</v>
      </c>
      <c r="T34" t="n">
        <v>1</v>
      </c>
      <c r="U34" s="2" t="inlineStr">
        <is>
          <t>Carphacis striatus</t>
        </is>
      </c>
      <c r="V34">
        <f>HYPERLINK("https://klasma.github.io/Logging_0560/artfynd/A 5001-2022 artfynd.xlsx", "A 5001-2022")</f>
        <v/>
      </c>
      <c r="W34">
        <f>HYPERLINK("https://klasma.github.io/Logging_0560/kartor/A 5001-2022 karta.png", "A 5001-2022")</f>
        <v/>
      </c>
      <c r="X34">
        <f>HYPERLINK("https://klasma.github.io/Logging_0560/kartor_geotiff/A 5001-2022 georefererad karta.tif", "A 5001-2022")</f>
        <v/>
      </c>
      <c r="Z34">
        <f>HYPERLINK("https://klasma.github.io/Logging_0560/klagomål/A 5001-2022 FSC-klagomål.docx", "A 5001-2022")</f>
        <v/>
      </c>
      <c r="AA34">
        <f>HYPERLINK("https://klasma.github.io/Logging_0560/klagomålsmail/A 5001-2022 FSC-klagomål mail.docx", "A 5001-2022")</f>
        <v/>
      </c>
      <c r="AB34">
        <f>HYPERLINK("https://klasma.github.io/Logging_0560/tillsyn/A 5001-2022 tillsynsbegäran.docx", "A 5001-2022")</f>
        <v/>
      </c>
      <c r="AC34">
        <f>HYPERLINK("https://klasma.github.io/Logging_0560/tillsynsmail/A 5001-2022 tillsynsbegäran mail.docx", "A 5001-2022")</f>
        <v/>
      </c>
    </row>
    <row r="35" ht="15" customHeight="1">
      <c r="A35" t="inlineStr">
        <is>
          <t>A 64028-2025</t>
        </is>
      </c>
      <c r="B35" t="inlineStr">
        <is>
          <t>avverkningsanmälan</t>
        </is>
      </c>
      <c r="C35" t="inlineStr">
        <is>
          <t>Föryngringsavverkning</t>
        </is>
      </c>
      <c r="D35" s="1" t="n">
        <v>46021</v>
      </c>
      <c r="E35" s="1" t="n">
        <v>46223</v>
      </c>
      <c r="F35" t="inlineStr">
        <is>
          <t>ÖSTERGÖTLANDS LÄN</t>
        </is>
      </c>
      <c r="G35" t="inlineStr">
        <is>
          <t>BOXHOLM</t>
        </is>
      </c>
      <c r="H35" t="inlineStr">
        <is>
          <t>Allmännings- och besparingsskogar</t>
        </is>
      </c>
      <c r="I35" t="n">
        <v>2.6</v>
      </c>
      <c r="J35" t="n">
        <v>1</v>
      </c>
      <c r="K35" t="n">
        <v>0</v>
      </c>
      <c r="L35" t="n">
        <v>0</v>
      </c>
      <c r="M35" t="n">
        <v>0</v>
      </c>
      <c r="N35" t="n">
        <v>0</v>
      </c>
      <c r="O35" t="n">
        <v>0</v>
      </c>
      <c r="P35" t="n">
        <v>0</v>
      </c>
      <c r="Q35" t="n">
        <v>0</v>
      </c>
      <c r="R35" t="n">
        <v>0</v>
      </c>
      <c r="S35" t="n">
        <v>1</v>
      </c>
      <c r="T35" t="n">
        <v>1</v>
      </c>
      <c r="U35" s="2" t="inlineStr">
        <is>
          <t>Blåsippa</t>
        </is>
      </c>
      <c r="V35">
        <f>HYPERLINK("https://klasma.github.io/Logging_0560/artfynd/A 64028-2025 artfynd.xlsx", "A 64028-2025")</f>
        <v/>
      </c>
      <c r="W35">
        <f>HYPERLINK("https://klasma.github.io/Logging_0560/kartor/A 64028-2025 karta.png", "A 64028-2025")</f>
        <v/>
      </c>
      <c r="X35">
        <f>HYPERLINK("https://klasma.github.io/Logging_0560/kartor_geotiff/A 64028-2025 georefererad karta.tif", "A 64028-2025")</f>
        <v/>
      </c>
      <c r="Z35">
        <f>HYPERLINK("https://klasma.github.io/Logging_0560/klagomål/A 64028-2025 FSC-klagomål.docx", "A 64028-2025")</f>
        <v/>
      </c>
      <c r="AA35">
        <f>HYPERLINK("https://klasma.github.io/Logging_0560/klagomålsmail/A 64028-2025 FSC-klagomål mail.docx", "A 64028-2025")</f>
        <v/>
      </c>
      <c r="AB35">
        <f>HYPERLINK("https://klasma.github.io/Logging_0560/tillsyn/A 64028-2025 tillsynsbegäran.docx", "A 64028-2025")</f>
        <v/>
      </c>
      <c r="AC35">
        <f>HYPERLINK("https://klasma.github.io/Logging_0560/tillsynsmail/A 64028-2025 tillsynsbegäran mail.docx", "A 64028-2025")</f>
        <v/>
      </c>
    </row>
    <row r="36" ht="15" customHeight="1">
      <c r="A36" t="inlineStr">
        <is>
          <t>A 29396-2023</t>
        </is>
      </c>
      <c r="B36" t="inlineStr">
        <is>
          <t>avverkningsanmälan</t>
        </is>
      </c>
      <c r="C36" t="inlineStr">
        <is>
          <t>Föryngringsavverkning</t>
        </is>
      </c>
      <c r="D36" s="1" t="n">
        <v>45106</v>
      </c>
      <c r="E36" s="1" t="n">
        <v>46223</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s="2" t="inlineStr">
        <is>
          <t>Gul dropplav</t>
        </is>
      </c>
      <c r="V36">
        <f>HYPERLINK("https://klasma.github.io/Logging_0560/artfynd/A 29396-2023 artfynd.xlsx", "A 29396-2023")</f>
        <v/>
      </c>
      <c r="W36">
        <f>HYPERLINK("https://klasma.github.io/Logging_0560/kartor/A 29396-2023 karta.png", "A 29396-2023")</f>
        <v/>
      </c>
      <c r="X36">
        <f>HYPERLINK("https://klasma.github.io/Logging_0560/kartor_geotiff/A 29396-2023 georefererad karta.tif", "A 29396-2023")</f>
        <v/>
      </c>
      <c r="Z36">
        <f>HYPERLINK("https://klasma.github.io/Logging_0560/klagomål/A 29396-2023 FSC-klagomål.docx", "A 29396-2023")</f>
        <v/>
      </c>
      <c r="AA36">
        <f>HYPERLINK("https://klasma.github.io/Logging_0560/klagomålsmail/A 29396-2023 FSC-klagomål mail.docx", "A 29396-2023")</f>
        <v/>
      </c>
      <c r="AB36">
        <f>HYPERLINK("https://klasma.github.io/Logging_0560/tillsyn/A 29396-2023 tillsynsbegäran.docx", "A 29396-2023")</f>
        <v/>
      </c>
      <c r="AC36">
        <f>HYPERLINK("https://klasma.github.io/Logging_0560/tillsynsmail/A 29396-2023 tillsynsbegäran mail.docx", "A 29396-2023")</f>
        <v/>
      </c>
    </row>
    <row r="37" ht="15" customHeight="1">
      <c r="A37" t="inlineStr">
        <is>
          <t>A 53616-2024</t>
        </is>
      </c>
      <c r="B37" t="inlineStr">
        <is>
          <t>avverkningsanmälan</t>
        </is>
      </c>
      <c r="C37" t="inlineStr">
        <is>
          <t>Föryngringsavverkning</t>
        </is>
      </c>
      <c r="D37" s="1" t="n">
        <v>45614</v>
      </c>
      <c r="E37" s="1" t="n">
        <v>46223</v>
      </c>
      <c r="F37" t="inlineStr">
        <is>
          <t>ÖSTERGÖTLANDS LÄN</t>
        </is>
      </c>
      <c r="G37" t="inlineStr">
        <is>
          <t>BOXHOLM</t>
        </is>
      </c>
      <c r="I37" t="n">
        <v>2.3</v>
      </c>
      <c r="J37" t="n">
        <v>0</v>
      </c>
      <c r="K37" t="n">
        <v>0</v>
      </c>
      <c r="L37" t="n">
        <v>1</v>
      </c>
      <c r="M37" t="n">
        <v>0</v>
      </c>
      <c r="N37" t="n">
        <v>0</v>
      </c>
      <c r="O37" t="n">
        <v>0</v>
      </c>
      <c r="P37" t="n">
        <v>0</v>
      </c>
      <c r="Q37" t="n">
        <v>1</v>
      </c>
      <c r="R37" t="n">
        <v>0</v>
      </c>
      <c r="S37" t="n">
        <v>1</v>
      </c>
      <c r="T37" t="n">
        <v>1</v>
      </c>
      <c r="U37" s="2" t="inlineStr">
        <is>
          <t>Sommarfibbla</t>
        </is>
      </c>
      <c r="V37">
        <f>HYPERLINK("https://klasma.github.io/Logging_0560/artfynd/A 53616-2024 artfynd.xlsx", "A 53616-2024")</f>
        <v/>
      </c>
      <c r="W37">
        <f>HYPERLINK("https://klasma.github.io/Logging_0560/kartor/A 53616-2024 karta.png", "A 53616-2024")</f>
        <v/>
      </c>
      <c r="X37">
        <f>HYPERLINK("https://klasma.github.io/Logging_0560/kartor_geotiff/A 53616-2024 georefererad karta.tif", "A 53616-2024")</f>
        <v/>
      </c>
      <c r="Z37">
        <f>HYPERLINK("https://klasma.github.io/Logging_0560/klagomål/A 53616-2024 FSC-klagomål.docx", "A 53616-2024")</f>
        <v/>
      </c>
      <c r="AA37">
        <f>HYPERLINK("https://klasma.github.io/Logging_0560/klagomålsmail/A 53616-2024 FSC-klagomål mail.docx", "A 53616-2024")</f>
        <v/>
      </c>
      <c r="AB37">
        <f>HYPERLINK("https://klasma.github.io/Logging_0560/tillsyn/A 53616-2024 tillsynsbegäran.docx", "A 53616-2024")</f>
        <v/>
      </c>
      <c r="AC37">
        <f>HYPERLINK("https://klasma.github.io/Logging_0560/tillsynsmail/A 53616-2024 tillsynsbegäran mail.docx", "A 53616-2024")</f>
        <v/>
      </c>
    </row>
    <row r="38" ht="15" customHeight="1">
      <c r="A38" t="inlineStr">
        <is>
          <t>A 28407-2026</t>
        </is>
      </c>
      <c r="B38" t="inlineStr">
        <is>
          <t>avverkningsanmälan</t>
        </is>
      </c>
      <c r="C38" t="inlineStr">
        <is>
          <t>Föryngringsavverkning</t>
        </is>
      </c>
      <c r="D38" s="1" t="n">
        <v>46197</v>
      </c>
      <c r="E38" s="1" t="n">
        <v>46223</v>
      </c>
      <c r="F38" t="inlineStr">
        <is>
          <t>ÖSTERGÖTLANDS LÄN</t>
        </is>
      </c>
      <c r="G38" t="inlineStr">
        <is>
          <t>BOXHOLM</t>
        </is>
      </c>
      <c r="H38" t="inlineStr">
        <is>
          <t>Kyrkan</t>
        </is>
      </c>
      <c r="I38" t="n">
        <v>2.9</v>
      </c>
      <c r="J38" t="n">
        <v>0</v>
      </c>
      <c r="K38" t="n">
        <v>0</v>
      </c>
      <c r="L38" t="n">
        <v>1</v>
      </c>
      <c r="M38" t="n">
        <v>0</v>
      </c>
      <c r="N38" t="n">
        <v>0</v>
      </c>
      <c r="O38" t="n">
        <v>0</v>
      </c>
      <c r="P38" t="n">
        <v>0</v>
      </c>
      <c r="Q38" t="n">
        <v>1</v>
      </c>
      <c r="R38" t="n">
        <v>0</v>
      </c>
      <c r="S38" t="n">
        <v>1</v>
      </c>
      <c r="T38" t="n">
        <v>1</v>
      </c>
      <c r="U38" s="2" t="inlineStr">
        <is>
          <t>Gullklöver</t>
        </is>
      </c>
      <c r="V38">
        <f>HYPERLINK("https://klasma.github.io/Logging_0560/artfynd/A 28407-2026 artfynd.xlsx", "A 28407-2026")</f>
        <v/>
      </c>
      <c r="W38">
        <f>HYPERLINK("https://klasma.github.io/Logging_0560/kartor/A 28407-2026 karta.png", "A 28407-2026")</f>
        <v/>
      </c>
      <c r="X38">
        <f>HYPERLINK("https://klasma.github.io/Logging_0560/kartor_geotiff/A 28407-2026 georefererad karta.tif", "A 28407-2026")</f>
        <v/>
      </c>
      <c r="Z38">
        <f>HYPERLINK("https://klasma.github.io/Logging_0560/klagomål/A 28407-2026 FSC-klagomål.docx", "A 28407-2026")</f>
        <v/>
      </c>
      <c r="AA38">
        <f>HYPERLINK("https://klasma.github.io/Logging_0560/klagomålsmail/A 28407-2026 FSC-klagomål mail.docx", "A 28407-2026")</f>
        <v/>
      </c>
      <c r="AB38">
        <f>HYPERLINK("https://klasma.github.io/Logging_0560/tillsyn/A 28407-2026 tillsynsbegäran.docx", "A 28407-2026")</f>
        <v/>
      </c>
      <c r="AC38">
        <f>HYPERLINK("https://klasma.github.io/Logging_0560/tillsynsmail/A 28407-2026 tillsynsbegäran mail.docx", "A 28407-2026")</f>
        <v/>
      </c>
    </row>
    <row r="39" ht="15" customHeight="1">
      <c r="A39" t="inlineStr">
        <is>
          <t>A 57570-2023</t>
        </is>
      </c>
      <c r="B39" t="inlineStr">
        <is>
          <t>avverkningsanmälan</t>
        </is>
      </c>
      <c r="C39" t="inlineStr">
        <is>
          <t>Föryngringsavverkning</t>
        </is>
      </c>
      <c r="D39" s="1" t="n">
        <v>45246</v>
      </c>
      <c r="E39" s="1" t="n">
        <v>46223</v>
      </c>
      <c r="F39" t="inlineStr">
        <is>
          <t>ÖSTERGÖTLANDS LÄN</t>
        </is>
      </c>
      <c r="G39" t="inlineStr">
        <is>
          <t>BOXHOLM</t>
        </is>
      </c>
      <c r="H39" t="inlineStr">
        <is>
          <t>Övriga Aktiebolag</t>
        </is>
      </c>
      <c r="I39" t="n">
        <v>1.5</v>
      </c>
      <c r="J39" t="n">
        <v>1</v>
      </c>
      <c r="K39" t="n">
        <v>0</v>
      </c>
      <c r="L39" t="n">
        <v>1</v>
      </c>
      <c r="M39" t="n">
        <v>0</v>
      </c>
      <c r="N39" t="n">
        <v>0</v>
      </c>
      <c r="O39" t="n">
        <v>0</v>
      </c>
      <c r="P39" t="n">
        <v>0</v>
      </c>
      <c r="Q39" t="n">
        <v>1</v>
      </c>
      <c r="R39" t="n">
        <v>0</v>
      </c>
      <c r="S39" t="n">
        <v>1</v>
      </c>
      <c r="T39" t="n">
        <v>1</v>
      </c>
      <c r="U39" s="2" t="inlineStr">
        <is>
          <t>Nötkråka</t>
        </is>
      </c>
      <c r="V39">
        <f>HYPERLINK("https://klasma.github.io/Logging_0560/artfynd/A 57570-2023 artfynd.xlsx", "A 57570-2023")</f>
        <v/>
      </c>
      <c r="W39">
        <f>HYPERLINK("https://klasma.github.io/Logging_0560/kartor/A 57570-2023 karta.png", "A 57570-2023")</f>
        <v/>
      </c>
      <c r="X39">
        <f>HYPERLINK("https://klasma.github.io/Logging_0560/kartor_geotiff/A 57570-2023 georefererad karta.tif", "A 57570-2023")</f>
        <v/>
      </c>
      <c r="Z39">
        <f>HYPERLINK("https://klasma.github.io/Logging_0560/klagomål/A 57570-2023 FSC-klagomål.docx", "A 57570-2023")</f>
        <v/>
      </c>
      <c r="AA39">
        <f>HYPERLINK("https://klasma.github.io/Logging_0560/klagomålsmail/A 57570-2023 FSC-klagomål mail.docx", "A 57570-2023")</f>
        <v/>
      </c>
      <c r="AB39">
        <f>HYPERLINK("https://klasma.github.io/Logging_0560/tillsyn/A 57570-2023 tillsynsbegäran.docx", "A 57570-2023")</f>
        <v/>
      </c>
      <c r="AC39">
        <f>HYPERLINK("https://klasma.github.io/Logging_0560/tillsynsmail/A 57570-2023 tillsynsbegäran mail.docx", "A 57570-2023")</f>
        <v/>
      </c>
      <c r="AD39">
        <f>HYPERLINK("https://klasma.github.io/Logging_0560/fåglar/A 57570-2023 prioriterade fågelarter.docx", "A 57570-2023")</f>
        <v/>
      </c>
    </row>
    <row r="40" ht="15" customHeight="1">
      <c r="A40" t="inlineStr">
        <is>
          <t>A 52847-2024</t>
        </is>
      </c>
      <c r="B40" t="inlineStr">
        <is>
          <t>avverkningsanmälan</t>
        </is>
      </c>
      <c r="C40" t="inlineStr">
        <is>
          <t>Föryngringsavverkning</t>
        </is>
      </c>
      <c r="D40" s="1" t="n">
        <v>45610</v>
      </c>
      <c r="E40" s="1" t="n">
        <v>46223</v>
      </c>
      <c r="F40" t="inlineStr">
        <is>
          <t>ÖSTERGÖTLANDS LÄN</t>
        </is>
      </c>
      <c r="G40" t="inlineStr">
        <is>
          <t>BOXHOLM</t>
        </is>
      </c>
      <c r="I40" t="n">
        <v>1.2</v>
      </c>
      <c r="J40" t="n">
        <v>0</v>
      </c>
      <c r="K40" t="n">
        <v>0</v>
      </c>
      <c r="L40" t="n">
        <v>1</v>
      </c>
      <c r="M40" t="n">
        <v>0</v>
      </c>
      <c r="N40" t="n">
        <v>0</v>
      </c>
      <c r="O40" t="n">
        <v>0</v>
      </c>
      <c r="P40" t="n">
        <v>0</v>
      </c>
      <c r="Q40" t="n">
        <v>1</v>
      </c>
      <c r="R40" t="n">
        <v>0</v>
      </c>
      <c r="S40" t="n">
        <v>1</v>
      </c>
      <c r="T40" t="n">
        <v>1</v>
      </c>
      <c r="U40" s="2" t="inlineStr">
        <is>
          <t>Vårstarr</t>
        </is>
      </c>
      <c r="V40">
        <f>HYPERLINK("https://klasma.github.io/Logging_0560/artfynd/A 52847-2024 artfynd.xlsx", "A 52847-2024")</f>
        <v/>
      </c>
      <c r="W40">
        <f>HYPERLINK("https://klasma.github.io/Logging_0560/kartor/A 52847-2024 karta.png", "A 52847-2024")</f>
        <v/>
      </c>
      <c r="X40">
        <f>HYPERLINK("https://klasma.github.io/Logging_0560/kartor_geotiff/A 52847-2024 georefererad karta.tif", "A 52847-2024")</f>
        <v/>
      </c>
      <c r="Z40">
        <f>HYPERLINK("https://klasma.github.io/Logging_0560/klagomål/A 52847-2024 FSC-klagomål.docx", "A 52847-2024")</f>
        <v/>
      </c>
      <c r="AA40">
        <f>HYPERLINK("https://klasma.github.io/Logging_0560/klagomålsmail/A 52847-2024 FSC-klagomål mail.docx", "A 52847-2024")</f>
        <v/>
      </c>
      <c r="AB40">
        <f>HYPERLINK("https://klasma.github.io/Logging_0560/tillsyn/A 52847-2024 tillsynsbegäran.docx", "A 52847-2024")</f>
        <v/>
      </c>
      <c r="AC40">
        <f>HYPERLINK("https://klasma.github.io/Logging_0560/tillsynsmail/A 52847-2024 tillsynsbegäran mail.docx", "A 52847-2024")</f>
        <v/>
      </c>
    </row>
    <row r="41" ht="15" customHeight="1">
      <c r="A41" t="inlineStr">
        <is>
          <t>A 19560-2024</t>
        </is>
      </c>
      <c r="B41" t="inlineStr">
        <is>
          <t>avverkningsanmälan</t>
        </is>
      </c>
      <c r="C41" t="inlineStr">
        <is>
          <t>Föryngringsavverkning</t>
        </is>
      </c>
      <c r="D41" s="1" t="n">
        <v>45429</v>
      </c>
      <c r="E41" s="1" t="n">
        <v>46223</v>
      </c>
      <c r="F41" t="inlineStr">
        <is>
          <t>ÖSTERGÖTLANDS LÄN</t>
        </is>
      </c>
      <c r="G41" t="inlineStr">
        <is>
          <t>BOXHOLM</t>
        </is>
      </c>
      <c r="I41" t="n">
        <v>3.8</v>
      </c>
      <c r="J41" t="n">
        <v>0</v>
      </c>
      <c r="K41" t="n">
        <v>0</v>
      </c>
      <c r="L41" t="n">
        <v>1</v>
      </c>
      <c r="M41" t="n">
        <v>0</v>
      </c>
      <c r="N41" t="n">
        <v>0</v>
      </c>
      <c r="O41" t="n">
        <v>0</v>
      </c>
      <c r="P41" t="n">
        <v>0</v>
      </c>
      <c r="Q41" t="n">
        <v>1</v>
      </c>
      <c r="R41" t="n">
        <v>0</v>
      </c>
      <c r="S41" t="n">
        <v>1</v>
      </c>
      <c r="T41" t="n">
        <v>1</v>
      </c>
      <c r="U41" s="2" t="inlineStr">
        <is>
          <t>Gullklöver</t>
        </is>
      </c>
      <c r="V41">
        <f>HYPERLINK("https://klasma.github.io/Logging_0560/artfynd/A 19560-2024 artfynd.xlsx", "A 19560-2024")</f>
        <v/>
      </c>
      <c r="W41">
        <f>HYPERLINK("https://klasma.github.io/Logging_0560/kartor/A 19560-2024 karta.png", "A 19560-2024")</f>
        <v/>
      </c>
      <c r="X41">
        <f>HYPERLINK("https://klasma.github.io/Logging_0560/kartor_geotiff/A 19560-2024 georefererad karta.tif", "A 19560-2024")</f>
        <v/>
      </c>
      <c r="Z41">
        <f>HYPERLINK("https://klasma.github.io/Logging_0560/klagomål/A 19560-2024 FSC-klagomål.docx", "A 19560-2024")</f>
        <v/>
      </c>
      <c r="AA41">
        <f>HYPERLINK("https://klasma.github.io/Logging_0560/klagomålsmail/A 19560-2024 FSC-klagomål mail.docx", "A 19560-2024")</f>
        <v/>
      </c>
      <c r="AB41">
        <f>HYPERLINK("https://klasma.github.io/Logging_0560/tillsyn/A 19560-2024 tillsynsbegäran.docx", "A 19560-2024")</f>
        <v/>
      </c>
      <c r="AC41">
        <f>HYPERLINK("https://klasma.github.io/Logging_0560/tillsynsmail/A 19560-2024 tillsynsbegäran mail.docx", "A 19560-2024")</f>
        <v/>
      </c>
    </row>
    <row r="42" ht="15" customHeight="1">
      <c r="A42" t="inlineStr">
        <is>
          <t>A 31675-2023</t>
        </is>
      </c>
      <c r="B42" t="inlineStr">
        <is>
          <t>avverkningsanmälan</t>
        </is>
      </c>
      <c r="C42" t="inlineStr">
        <is>
          <t>Avverkning för annat ändamål</t>
        </is>
      </c>
      <c r="D42" s="1" t="n">
        <v>45117</v>
      </c>
      <c r="E42" s="1" t="n">
        <v>46223</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s="2" t="inlineStr">
        <is>
          <t>Backklöver</t>
        </is>
      </c>
      <c r="V42">
        <f>HYPERLINK("https://klasma.github.io/Logging_0560/artfynd/A 31675-2023 artfynd.xlsx", "A 31675-2023")</f>
        <v/>
      </c>
      <c r="W42">
        <f>HYPERLINK("https://klasma.github.io/Logging_0560/kartor/A 31675-2023 karta.png", "A 31675-2023")</f>
        <v/>
      </c>
      <c r="X42">
        <f>HYPERLINK("https://klasma.github.io/Logging_0560/kartor_geotiff/A 31675-2023 georefererad karta.tif", "A 31675-2023")</f>
        <v/>
      </c>
      <c r="Z42">
        <f>HYPERLINK("https://klasma.github.io/Logging_0560/klagomål/A 31675-2023 FSC-klagomål.docx", "A 31675-2023")</f>
        <v/>
      </c>
      <c r="AA42">
        <f>HYPERLINK("https://klasma.github.io/Logging_0560/klagomålsmail/A 31675-2023 FSC-klagomål mail.docx", "A 31675-2023")</f>
        <v/>
      </c>
      <c r="AB42">
        <f>HYPERLINK("https://klasma.github.io/Logging_0560/tillsyn/A 31675-2023 tillsynsbegäran.docx", "A 31675-2023")</f>
        <v/>
      </c>
      <c r="AC42">
        <f>HYPERLINK("https://klasma.github.io/Logging_0560/tillsynsmail/A 31675-2023 tillsynsbegäran mail.docx", "A 31675-2023")</f>
        <v/>
      </c>
    </row>
    <row r="43" ht="15" customHeight="1">
      <c r="A43" t="inlineStr">
        <is>
          <t>S 486-2025</t>
        </is>
      </c>
      <c r="B43" t="inlineStr">
        <is>
          <t>samrådsanmälan</t>
        </is>
      </c>
      <c r="C43" t="inlineStr">
        <is>
          <t>Askåterföring</t>
        </is>
      </c>
      <c r="D43" s="1" t="n">
        <v>45705</v>
      </c>
      <c r="E43" s="1" t="n">
        <v>46223</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s="2" t="inlineStr">
        <is>
          <t>Etternässla</t>
        </is>
      </c>
      <c r="V43">
        <f>HYPERLINK("https://klasma.github.io/Logging_0560/artfynd/S 486-2025 artfynd.xlsx", "S 486-2025")</f>
        <v/>
      </c>
      <c r="W43">
        <f>HYPERLINK("https://klasma.github.io/Logging_0560/kartor/S 486-2025 karta.png", "S 486-2025")</f>
        <v/>
      </c>
      <c r="X43">
        <f>HYPERLINK("https://klasma.github.io/Logging_0560/kartor_geotiff/S 486-2025 georefererad karta.tif", "S 486-2025")</f>
        <v/>
      </c>
      <c r="Z43">
        <f>HYPERLINK("https://klasma.github.io/Logging_0560/klagomål/S 486-2025 FSC-klagomål.docx", "S 486-2025")</f>
        <v/>
      </c>
      <c r="AA43">
        <f>HYPERLINK("https://klasma.github.io/Logging_0560/klagomålsmail/S 486-2025 FSC-klagomål mail.docx", "S 486-2025")</f>
        <v/>
      </c>
      <c r="AB43">
        <f>HYPERLINK("https://klasma.github.io/Logging_0560/tillsyn/S 486-2025 tillsynsbegäran.docx", "S 486-2025")</f>
        <v/>
      </c>
      <c r="AC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46223</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s="2" t="inlineStr"/>
    </row>
    <row r="45" ht="15" customHeight="1">
      <c r="A45" t="inlineStr">
        <is>
          <t>A 63202-2021</t>
        </is>
      </c>
      <c r="B45" t="inlineStr">
        <is>
          <t>avverkningsanmälan</t>
        </is>
      </c>
      <c r="C45" t="inlineStr">
        <is>
          <t>Föryngringsavverkning</t>
        </is>
      </c>
      <c r="D45" s="1" t="n">
        <v>44507</v>
      </c>
      <c r="E45" s="1" t="n">
        <v>46223</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s="2" t="inlineStr"/>
    </row>
    <row r="46" ht="15" customHeight="1">
      <c r="A46" t="inlineStr">
        <is>
          <t>A 55182-2022</t>
        </is>
      </c>
      <c r="B46" t="inlineStr">
        <is>
          <t>avverkningsanmälan</t>
        </is>
      </c>
      <c r="C46" t="inlineStr">
        <is>
          <t>Föryngringsavverkning</t>
        </is>
      </c>
      <c r="D46" s="1" t="n">
        <v>44886</v>
      </c>
      <c r="E46" s="1" t="n">
        <v>46223</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s="2" t="inlineStr"/>
    </row>
    <row r="47" ht="15" customHeight="1">
      <c r="A47" t="inlineStr">
        <is>
          <t>A 44898-2022</t>
        </is>
      </c>
      <c r="B47" t="inlineStr">
        <is>
          <t>avverkningsanmälan</t>
        </is>
      </c>
      <c r="C47" t="inlineStr">
        <is>
          <t>Föryngringsavverkning</t>
        </is>
      </c>
      <c r="D47" s="1" t="n">
        <v>44841</v>
      </c>
      <c r="E47" s="1" t="n">
        <v>46223</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s="2" t="inlineStr"/>
    </row>
    <row r="48" ht="15" customHeight="1">
      <c r="A48" t="inlineStr">
        <is>
          <t>A 16753-2022</t>
        </is>
      </c>
      <c r="B48" t="inlineStr">
        <is>
          <t>avverkningsanmälan</t>
        </is>
      </c>
      <c r="C48" t="inlineStr">
        <is>
          <t>Föryngringsavverkning</t>
        </is>
      </c>
      <c r="D48" s="1" t="n">
        <v>44673</v>
      </c>
      <c r="E48" s="1" t="n">
        <v>46223</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s="2" t="inlineStr"/>
    </row>
    <row r="49" ht="15" customHeight="1">
      <c r="A49" t="inlineStr">
        <is>
          <t>A 22043-2022</t>
        </is>
      </c>
      <c r="B49" t="inlineStr">
        <is>
          <t>avverkningsanmälan</t>
        </is>
      </c>
      <c r="C49" t="inlineStr">
        <is>
          <t>Föryngringsavverkning</t>
        </is>
      </c>
      <c r="D49" s="1" t="n">
        <v>44711</v>
      </c>
      <c r="E49" s="1" t="n">
        <v>46223</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s="2" t="inlineStr"/>
    </row>
    <row r="50" ht="15" customHeight="1">
      <c r="A50" t="inlineStr">
        <is>
          <t>A 54708-2021</t>
        </is>
      </c>
      <c r="B50" t="inlineStr">
        <is>
          <t>avverkningsanmälan</t>
        </is>
      </c>
      <c r="C50" t="inlineStr">
        <is>
          <t>Föryngringsavverkning</t>
        </is>
      </c>
      <c r="D50" s="1" t="n">
        <v>44473</v>
      </c>
      <c r="E50" s="1" t="n">
        <v>46223</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s="2" t="inlineStr"/>
    </row>
    <row r="51" ht="15" customHeight="1">
      <c r="A51" t="inlineStr">
        <is>
          <t>A 56800-2021</t>
        </is>
      </c>
      <c r="B51" t="inlineStr">
        <is>
          <t>avverkningsanmälan</t>
        </is>
      </c>
      <c r="C51" t="inlineStr">
        <is>
          <t>Föryngringsavverkning</t>
        </is>
      </c>
      <c r="D51" s="1" t="n">
        <v>44481</v>
      </c>
      <c r="E51" s="1" t="n">
        <v>46223</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s="2" t="inlineStr"/>
    </row>
    <row r="52" ht="15" customHeight="1">
      <c r="A52" t="inlineStr">
        <is>
          <t>A 67372-2021</t>
        </is>
      </c>
      <c r="B52" t="inlineStr">
        <is>
          <t>avverkningsanmälan</t>
        </is>
      </c>
      <c r="C52" t="inlineStr">
        <is>
          <t>Föryngringsavverkning</t>
        </is>
      </c>
      <c r="D52" s="1" t="n">
        <v>44523</v>
      </c>
      <c r="E52" s="1" t="n">
        <v>46223</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s="2" t="inlineStr"/>
    </row>
    <row r="53" ht="15" customHeight="1">
      <c r="A53" t="inlineStr">
        <is>
          <t>A 50455-2022</t>
        </is>
      </c>
      <c r="B53" t="inlineStr">
        <is>
          <t>avverkningsanmälan</t>
        </is>
      </c>
      <c r="C53" t="inlineStr">
        <is>
          <t>Föryngringsavverkning</t>
        </is>
      </c>
      <c r="D53" s="1" t="n">
        <v>44866</v>
      </c>
      <c r="E53" s="1" t="n">
        <v>46223</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s="2" t="inlineStr"/>
    </row>
    <row r="54" ht="15" customHeight="1">
      <c r="A54" t="inlineStr">
        <is>
          <t>A 43219-2022</t>
        </is>
      </c>
      <c r="B54" t="inlineStr">
        <is>
          <t>avverkningsanmälan</t>
        </is>
      </c>
      <c r="C54" t="inlineStr">
        <is>
          <t>Föryngringsavverkning</t>
        </is>
      </c>
      <c r="D54" s="1" t="n">
        <v>44834</v>
      </c>
      <c r="E54" s="1" t="n">
        <v>46223</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s="2" t="inlineStr"/>
    </row>
    <row r="55" ht="15" customHeight="1">
      <c r="A55" t="inlineStr">
        <is>
          <t>A 16107-2022</t>
        </is>
      </c>
      <c r="B55" t="inlineStr">
        <is>
          <t>avverkningsanmälan</t>
        </is>
      </c>
      <c r="C55" t="inlineStr">
        <is>
          <t>Föryngringsavverkning</t>
        </is>
      </c>
      <c r="D55" s="1" t="n">
        <v>44665</v>
      </c>
      <c r="E55" s="1" t="n">
        <v>46223</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s="2" t="inlineStr"/>
    </row>
    <row r="56" ht="15" customHeight="1">
      <c r="A56" t="inlineStr">
        <is>
          <t>A 42698-2022</t>
        </is>
      </c>
      <c r="B56" t="inlineStr">
        <is>
          <t>avverkningsanmälan</t>
        </is>
      </c>
      <c r="C56" t="inlineStr">
        <is>
          <t>Föryngringsavverkning</t>
        </is>
      </c>
      <c r="D56" s="1" t="n">
        <v>44832</v>
      </c>
      <c r="E56" s="1" t="n">
        <v>46223</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s="2" t="inlineStr"/>
    </row>
    <row r="57" ht="15" customHeight="1">
      <c r="A57" t="inlineStr">
        <is>
          <t>A 28315-2022</t>
        </is>
      </c>
      <c r="B57" t="inlineStr">
        <is>
          <t>avverkningsanmälan</t>
        </is>
      </c>
      <c r="C57" t="inlineStr">
        <is>
          <t>Föryngringsavverkning</t>
        </is>
      </c>
      <c r="D57" s="1" t="n">
        <v>44747</v>
      </c>
      <c r="E57" s="1" t="n">
        <v>46223</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s="2" t="inlineStr"/>
    </row>
    <row r="58" ht="15" customHeight="1">
      <c r="A58" t="inlineStr">
        <is>
          <t>A 16751-2022</t>
        </is>
      </c>
      <c r="B58" t="inlineStr">
        <is>
          <t>avverkningsanmälan</t>
        </is>
      </c>
      <c r="C58" t="inlineStr">
        <is>
          <t>Föryngringsavverkning</t>
        </is>
      </c>
      <c r="D58" s="1" t="n">
        <v>44673</v>
      </c>
      <c r="E58" s="1" t="n">
        <v>46223</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s="2" t="inlineStr"/>
    </row>
    <row r="59" ht="15" customHeight="1">
      <c r="A59" t="inlineStr">
        <is>
          <t>A 47144-2022</t>
        </is>
      </c>
      <c r="B59" t="inlineStr">
        <is>
          <t>avverkningsanmälan</t>
        </is>
      </c>
      <c r="C59" t="inlineStr">
        <is>
          <t>Föryngringsavverkning</t>
        </is>
      </c>
      <c r="D59" s="1" t="n">
        <v>44852</v>
      </c>
      <c r="E59" s="1" t="n">
        <v>46223</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s="2" t="inlineStr"/>
    </row>
    <row r="60" ht="15" customHeight="1">
      <c r="A60" t="inlineStr">
        <is>
          <t>A 42693-2022</t>
        </is>
      </c>
      <c r="B60" t="inlineStr">
        <is>
          <t>avverkningsanmälan</t>
        </is>
      </c>
      <c r="C60" t="inlineStr">
        <is>
          <t>Föryngringsavverkning</t>
        </is>
      </c>
      <c r="D60" s="1" t="n">
        <v>44832</v>
      </c>
      <c r="E60" s="1" t="n">
        <v>46223</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s="2" t="inlineStr"/>
    </row>
    <row r="61" ht="15" customHeight="1">
      <c r="A61" t="inlineStr">
        <is>
          <t>A 42704-2022</t>
        </is>
      </c>
      <c r="B61" t="inlineStr">
        <is>
          <t>avverkningsanmälan</t>
        </is>
      </c>
      <c r="C61" t="inlineStr">
        <is>
          <t>Föryngringsavverkning</t>
        </is>
      </c>
      <c r="D61" s="1" t="n">
        <v>44832</v>
      </c>
      <c r="E61" s="1" t="n">
        <v>46223</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s="2" t="inlineStr"/>
    </row>
    <row r="62" ht="15" customHeight="1">
      <c r="A62" t="inlineStr">
        <is>
          <t>A 71037-2021</t>
        </is>
      </c>
      <c r="B62" t="inlineStr">
        <is>
          <t>avverkningsanmälan</t>
        </is>
      </c>
      <c r="C62" t="inlineStr">
        <is>
          <t>Föryngringsavverkning</t>
        </is>
      </c>
      <c r="D62" s="1" t="n">
        <v>44537</v>
      </c>
      <c r="E62" s="1" t="n">
        <v>46223</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s="2" t="inlineStr"/>
    </row>
    <row r="63" ht="15" customHeight="1">
      <c r="A63" t="inlineStr">
        <is>
          <t>A 51261-2021</t>
        </is>
      </c>
      <c r="B63" t="inlineStr">
        <is>
          <t>avverkningsanmälan</t>
        </is>
      </c>
      <c r="C63" t="inlineStr">
        <is>
          <t>Föryngringsavverkning</t>
        </is>
      </c>
      <c r="D63" s="1" t="n">
        <v>44461</v>
      </c>
      <c r="E63" s="1" t="n">
        <v>46223</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72285-2021</t>
        </is>
      </c>
      <c r="B64" t="inlineStr">
        <is>
          <t>avverkningsanmälan</t>
        </is>
      </c>
      <c r="C64" t="inlineStr">
        <is>
          <t>Föryngringsavverkning</t>
        </is>
      </c>
      <c r="D64" s="1" t="n">
        <v>44545</v>
      </c>
      <c r="E64" s="1" t="n">
        <v>46223</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s="2" t="inlineStr"/>
    </row>
    <row r="65" ht="15" customHeight="1">
      <c r="A65" t="inlineStr">
        <is>
          <t>A 71030-2021</t>
        </is>
      </c>
      <c r="B65" t="inlineStr">
        <is>
          <t>avverkningsanmälan</t>
        </is>
      </c>
      <c r="C65" t="inlineStr">
        <is>
          <t>Föryngringsavverkning</t>
        </is>
      </c>
      <c r="D65" s="1" t="n">
        <v>44538</v>
      </c>
      <c r="E65" s="1" t="n">
        <v>46223</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s="2" t="inlineStr"/>
    </row>
    <row r="66" ht="15" customHeight="1">
      <c r="A66" t="inlineStr">
        <is>
          <t>A 56794-2021</t>
        </is>
      </c>
      <c r="B66" t="inlineStr">
        <is>
          <t>avverkningsanmälan</t>
        </is>
      </c>
      <c r="C66" t="inlineStr">
        <is>
          <t>Föryngringsavverkning</t>
        </is>
      </c>
      <c r="D66" s="1" t="n">
        <v>44481</v>
      </c>
      <c r="E66" s="1" t="n">
        <v>46223</v>
      </c>
      <c r="F66" t="inlineStr">
        <is>
          <t>ÖSTERGÖTLANDS LÄN</t>
        </is>
      </c>
      <c r="G66" t="inlineStr">
        <is>
          <t>BOXHOLM</t>
        </is>
      </c>
      <c r="H66" t="inlineStr">
        <is>
          <t>Övriga Aktiebolag</t>
        </is>
      </c>
      <c r="I66" t="n">
        <v>6.1</v>
      </c>
      <c r="J66" t="n">
        <v>0</v>
      </c>
      <c r="K66" t="n">
        <v>0</v>
      </c>
      <c r="L66" t="n">
        <v>0</v>
      </c>
      <c r="M66" t="n">
        <v>0</v>
      </c>
      <c r="N66" t="n">
        <v>0</v>
      </c>
      <c r="O66" t="n">
        <v>0</v>
      </c>
      <c r="P66" t="n">
        <v>0</v>
      </c>
      <c r="Q66" t="n">
        <v>0</v>
      </c>
      <c r="R66" t="n">
        <v>0</v>
      </c>
      <c r="S66" t="n">
        <v>0</v>
      </c>
      <c r="T66" t="n">
        <v>0</v>
      </c>
      <c r="U66" s="2" t="inlineStr"/>
    </row>
    <row r="67" ht="15" customHeight="1">
      <c r="A67" t="inlineStr">
        <is>
          <t>A 24847-2022</t>
        </is>
      </c>
      <c r="B67" t="inlineStr">
        <is>
          <t>avverkningsanmälan</t>
        </is>
      </c>
      <c r="C67" t="inlineStr">
        <is>
          <t>Föryngringsavverkning</t>
        </is>
      </c>
      <c r="D67" s="1" t="n">
        <v>44728</v>
      </c>
      <c r="E67" s="1" t="n">
        <v>46223</v>
      </c>
      <c r="F67" t="inlineStr">
        <is>
          <t>ÖSTERGÖTLANDS LÄN</t>
        </is>
      </c>
      <c r="G67" t="inlineStr">
        <is>
          <t>BOXHOLM</t>
        </is>
      </c>
      <c r="H67" t="inlineStr">
        <is>
          <t>Övriga Aktiebolag</t>
        </is>
      </c>
      <c r="I67" t="n">
        <v>0.7</v>
      </c>
      <c r="J67" t="n">
        <v>0</v>
      </c>
      <c r="K67" t="n">
        <v>0</v>
      </c>
      <c r="L67" t="n">
        <v>0</v>
      </c>
      <c r="M67" t="n">
        <v>0</v>
      </c>
      <c r="N67" t="n">
        <v>0</v>
      </c>
      <c r="O67" t="n">
        <v>0</v>
      </c>
      <c r="P67" t="n">
        <v>0</v>
      </c>
      <c r="Q67" t="n">
        <v>0</v>
      </c>
      <c r="R67" t="n">
        <v>0</v>
      </c>
      <c r="S67" t="n">
        <v>0</v>
      </c>
      <c r="T67" t="n">
        <v>0</v>
      </c>
      <c r="U67" s="2" t="inlineStr"/>
    </row>
    <row r="68" ht="15" customHeight="1">
      <c r="A68" t="inlineStr">
        <is>
          <t>A 1925-2022</t>
        </is>
      </c>
      <c r="B68" t="inlineStr">
        <is>
          <t>avverkningsanmälan</t>
        </is>
      </c>
      <c r="C68" t="inlineStr">
        <is>
          <t>Föryngringsavverkning</t>
        </is>
      </c>
      <c r="D68" s="1" t="n">
        <v>44575</v>
      </c>
      <c r="E68" s="1" t="n">
        <v>46223</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s="2" t="inlineStr"/>
    </row>
    <row r="69" ht="15" customHeight="1">
      <c r="A69" t="inlineStr">
        <is>
          <t>A 67362-2021</t>
        </is>
      </c>
      <c r="B69" t="inlineStr">
        <is>
          <t>avverkningsanmälan</t>
        </is>
      </c>
      <c r="C69" t="inlineStr">
        <is>
          <t>Föryngringsavverkning</t>
        </is>
      </c>
      <c r="D69" s="1" t="n">
        <v>44523</v>
      </c>
      <c r="E69" s="1" t="n">
        <v>46223</v>
      </c>
      <c r="F69" t="inlineStr">
        <is>
          <t>ÖSTERGÖTLANDS LÄN</t>
        </is>
      </c>
      <c r="G69" t="inlineStr">
        <is>
          <t>BOXHOLM</t>
        </is>
      </c>
      <c r="I69" t="n">
        <v>1.4</v>
      </c>
      <c r="J69" t="n">
        <v>0</v>
      </c>
      <c r="K69" t="n">
        <v>0</v>
      </c>
      <c r="L69" t="n">
        <v>0</v>
      </c>
      <c r="M69" t="n">
        <v>0</v>
      </c>
      <c r="N69" t="n">
        <v>0</v>
      </c>
      <c r="O69" t="n">
        <v>0</v>
      </c>
      <c r="P69" t="n">
        <v>0</v>
      </c>
      <c r="Q69" t="n">
        <v>0</v>
      </c>
      <c r="R69" t="n">
        <v>0</v>
      </c>
      <c r="S69" t="n">
        <v>0</v>
      </c>
      <c r="T69" t="n">
        <v>0</v>
      </c>
      <c r="U69" s="2" t="inlineStr"/>
    </row>
    <row r="70" ht="15" customHeight="1">
      <c r="A70" t="inlineStr">
        <is>
          <t>A 42696-2022</t>
        </is>
      </c>
      <c r="B70" t="inlineStr">
        <is>
          <t>avverkningsanmälan</t>
        </is>
      </c>
      <c r="C70" t="inlineStr">
        <is>
          <t>Föryngringsavverkning</t>
        </is>
      </c>
      <c r="D70" s="1" t="n">
        <v>44832</v>
      </c>
      <c r="E70" s="1" t="n">
        <v>46223</v>
      </c>
      <c r="F70" t="inlineStr">
        <is>
          <t>ÖSTERGÖTLANDS LÄN</t>
        </is>
      </c>
      <c r="G70" t="inlineStr">
        <is>
          <t>BOXHOLM</t>
        </is>
      </c>
      <c r="H70" t="inlineStr">
        <is>
          <t>Övriga Aktiebolag</t>
        </is>
      </c>
      <c r="I70" t="n">
        <v>0.8</v>
      </c>
      <c r="J70" t="n">
        <v>0</v>
      </c>
      <c r="K70" t="n">
        <v>0</v>
      </c>
      <c r="L70" t="n">
        <v>0</v>
      </c>
      <c r="M70" t="n">
        <v>0</v>
      </c>
      <c r="N70" t="n">
        <v>0</v>
      </c>
      <c r="O70" t="n">
        <v>0</v>
      </c>
      <c r="P70" t="n">
        <v>0</v>
      </c>
      <c r="Q70" t="n">
        <v>0</v>
      </c>
      <c r="R70" t="n">
        <v>0</v>
      </c>
      <c r="S70" t="n">
        <v>0</v>
      </c>
      <c r="T70" t="n">
        <v>0</v>
      </c>
      <c r="U70" s="2" t="inlineStr"/>
    </row>
    <row r="71" ht="15" customHeight="1">
      <c r="A71" t="inlineStr">
        <is>
          <t>A 51509-2021</t>
        </is>
      </c>
      <c r="B71" t="inlineStr">
        <is>
          <t>avverkningsanmälan</t>
        </is>
      </c>
      <c r="C71" t="inlineStr">
        <is>
          <t>Föryngringsavverkning</t>
        </is>
      </c>
      <c r="D71" s="1" t="n">
        <v>44460</v>
      </c>
      <c r="E71" s="1" t="n">
        <v>46223</v>
      </c>
      <c r="F71" t="inlineStr">
        <is>
          <t>ÖSTERGÖTLANDS LÄN</t>
        </is>
      </c>
      <c r="G71" t="inlineStr">
        <is>
          <t>BOXHOLM</t>
        </is>
      </c>
      <c r="I71" t="n">
        <v>0.5</v>
      </c>
      <c r="J71" t="n">
        <v>0</v>
      </c>
      <c r="K71" t="n">
        <v>0</v>
      </c>
      <c r="L71" t="n">
        <v>0</v>
      </c>
      <c r="M71" t="n">
        <v>0</v>
      </c>
      <c r="N71" t="n">
        <v>0</v>
      </c>
      <c r="O71" t="n">
        <v>0</v>
      </c>
      <c r="P71" t="n">
        <v>0</v>
      </c>
      <c r="Q71" t="n">
        <v>0</v>
      </c>
      <c r="R71" t="n">
        <v>0</v>
      </c>
      <c r="S71" t="n">
        <v>0</v>
      </c>
      <c r="T71" t="n">
        <v>0</v>
      </c>
      <c r="U71" s="2" t="inlineStr"/>
    </row>
    <row r="72" ht="15" customHeight="1">
      <c r="A72" t="inlineStr">
        <is>
          <t>A 19566-2022</t>
        </is>
      </c>
      <c r="B72" t="inlineStr">
        <is>
          <t>avverkningsanmälan</t>
        </is>
      </c>
      <c r="C72" t="inlineStr">
        <is>
          <t>Föryngringsavverkning</t>
        </is>
      </c>
      <c r="D72" s="1" t="n">
        <v>44693</v>
      </c>
      <c r="E72" s="1" t="n">
        <v>46223</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s="2" t="inlineStr"/>
    </row>
    <row r="73" ht="15" customHeight="1">
      <c r="A73" t="inlineStr">
        <is>
          <t>A 28309-2022</t>
        </is>
      </c>
      <c r="B73" t="inlineStr">
        <is>
          <t>avverkningsanmälan</t>
        </is>
      </c>
      <c r="C73" t="inlineStr">
        <is>
          <t>Föryngringsavverkning</t>
        </is>
      </c>
      <c r="D73" s="1" t="n">
        <v>44747</v>
      </c>
      <c r="E73" s="1" t="n">
        <v>46223</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s="2" t="inlineStr"/>
    </row>
    <row r="74" ht="15" customHeight="1">
      <c r="A74" t="inlineStr">
        <is>
          <t>A 36281-2022</t>
        </is>
      </c>
      <c r="B74" t="inlineStr">
        <is>
          <t>avverkningsanmälan</t>
        </is>
      </c>
      <c r="C74" t="inlineStr">
        <is>
          <t>Föryngringsavverkning</t>
        </is>
      </c>
      <c r="D74" s="1" t="n">
        <v>44803</v>
      </c>
      <c r="E74" s="1" t="n">
        <v>46223</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s="2" t="inlineStr"/>
    </row>
    <row r="75" ht="15" customHeight="1">
      <c r="A75" t="inlineStr">
        <is>
          <t>A 45877-2022</t>
        </is>
      </c>
      <c r="B75" t="inlineStr">
        <is>
          <t>avverkningsanmälan</t>
        </is>
      </c>
      <c r="C75" t="inlineStr">
        <is>
          <t>Föryngringsavverkning</t>
        </is>
      </c>
      <c r="D75" s="1" t="n">
        <v>44846</v>
      </c>
      <c r="E75" s="1" t="n">
        <v>46223</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s="2" t="inlineStr"/>
    </row>
    <row r="76" ht="15" customHeight="1">
      <c r="A76" t="inlineStr">
        <is>
          <t>A 50463-2022</t>
        </is>
      </c>
      <c r="B76" t="inlineStr">
        <is>
          <t>avverkningsanmälan</t>
        </is>
      </c>
      <c r="C76" t="inlineStr">
        <is>
          <t>Föryngringsavverkning</t>
        </is>
      </c>
      <c r="D76" s="1" t="n">
        <v>44866</v>
      </c>
      <c r="E76" s="1" t="n">
        <v>46223</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s="2" t="inlineStr"/>
    </row>
    <row r="77" ht="15" customHeight="1">
      <c r="A77" t="inlineStr">
        <is>
          <t>A 67371-2021</t>
        </is>
      </c>
      <c r="B77" t="inlineStr">
        <is>
          <t>avverkningsanmälan</t>
        </is>
      </c>
      <c r="C77" t="inlineStr">
        <is>
          <t>Föryngringsavverkning</t>
        </is>
      </c>
      <c r="D77" s="1" t="n">
        <v>44523</v>
      </c>
      <c r="E77" s="1" t="n">
        <v>46223</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s="2" t="inlineStr"/>
    </row>
    <row r="78" ht="15" customHeight="1">
      <c r="A78" t="inlineStr">
        <is>
          <t>A 47145-2022</t>
        </is>
      </c>
      <c r="B78" t="inlineStr">
        <is>
          <t>avverkningsanmälan</t>
        </is>
      </c>
      <c r="C78" t="inlineStr">
        <is>
          <t>Föryngringsavverkning</t>
        </is>
      </c>
      <c r="D78" s="1" t="n">
        <v>44852</v>
      </c>
      <c r="E78" s="1" t="n">
        <v>46223</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s="2" t="inlineStr"/>
    </row>
    <row r="79" ht="15" customHeight="1">
      <c r="A79" t="inlineStr">
        <is>
          <t>A 72287-2021</t>
        </is>
      </c>
      <c r="B79" t="inlineStr">
        <is>
          <t>avverkningsanmälan</t>
        </is>
      </c>
      <c r="C79" t="inlineStr">
        <is>
          <t>Föryngringsavverkning</t>
        </is>
      </c>
      <c r="D79" s="1" t="n">
        <v>44545</v>
      </c>
      <c r="E79" s="1" t="n">
        <v>46223</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s="2" t="inlineStr"/>
    </row>
    <row r="80" ht="15" customHeight="1">
      <c r="A80" t="inlineStr">
        <is>
          <t>A 58472-2021</t>
        </is>
      </c>
      <c r="B80" t="inlineStr">
        <is>
          <t>avverkningsanmälan</t>
        </is>
      </c>
      <c r="C80" t="inlineStr">
        <is>
          <t>Föryngringsavverkning</t>
        </is>
      </c>
      <c r="D80" s="1" t="n">
        <v>44488</v>
      </c>
      <c r="E80" s="1" t="n">
        <v>46223</v>
      </c>
      <c r="F80" t="inlineStr">
        <is>
          <t>ÖSTERGÖTLANDS LÄN</t>
        </is>
      </c>
      <c r="G80" t="inlineStr">
        <is>
          <t>BOXHOLM</t>
        </is>
      </c>
      <c r="I80" t="n">
        <v>1.4</v>
      </c>
      <c r="J80" t="n">
        <v>0</v>
      </c>
      <c r="K80" t="n">
        <v>0</v>
      </c>
      <c r="L80" t="n">
        <v>0</v>
      </c>
      <c r="M80" t="n">
        <v>0</v>
      </c>
      <c r="N80" t="n">
        <v>0</v>
      </c>
      <c r="O80" t="n">
        <v>0</v>
      </c>
      <c r="P80" t="n">
        <v>0</v>
      </c>
      <c r="Q80" t="n">
        <v>0</v>
      </c>
      <c r="R80" t="n">
        <v>0</v>
      </c>
      <c r="S80" t="n">
        <v>0</v>
      </c>
      <c r="T80" t="n">
        <v>0</v>
      </c>
      <c r="U80" s="2" t="inlineStr"/>
    </row>
    <row r="81" ht="15" customHeight="1">
      <c r="A81" t="inlineStr">
        <is>
          <t>A 15500-2025</t>
        </is>
      </c>
      <c r="B81" t="inlineStr">
        <is>
          <t>avverkningsanmälan</t>
        </is>
      </c>
      <c r="C81" t="inlineStr">
        <is>
          <t>Avverkning för att bevara och utveckla /försöksver</t>
        </is>
      </c>
      <c r="D81" s="1" t="n">
        <v>45747</v>
      </c>
      <c r="E81" s="1" t="n">
        <v>46223</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s="2" t="inlineStr"/>
    </row>
    <row r="82" ht="15" customHeight="1">
      <c r="A82" t="inlineStr">
        <is>
          <t>A 12203-2025</t>
        </is>
      </c>
      <c r="B82" t="inlineStr">
        <is>
          <t>avverkningsanmälan</t>
        </is>
      </c>
      <c r="C82" t="inlineStr">
        <is>
          <t>Föryngringsavverkning</t>
        </is>
      </c>
      <c r="D82" s="1" t="n">
        <v>45729</v>
      </c>
      <c r="E82" s="1" t="n">
        <v>46223</v>
      </c>
      <c r="F82" t="inlineStr">
        <is>
          <t>ÖSTERGÖTLANDS LÄN</t>
        </is>
      </c>
      <c r="G82" t="inlineStr">
        <is>
          <t>BOXHOLM</t>
        </is>
      </c>
      <c r="H82" t="inlineStr">
        <is>
          <t>Allmännings- och besparingsskogar</t>
        </is>
      </c>
      <c r="I82" t="n">
        <v>4.5</v>
      </c>
      <c r="J82" t="n">
        <v>0</v>
      </c>
      <c r="K82" t="n">
        <v>0</v>
      </c>
      <c r="L82" t="n">
        <v>0</v>
      </c>
      <c r="M82" t="n">
        <v>0</v>
      </c>
      <c r="N82" t="n">
        <v>0</v>
      </c>
      <c r="O82" t="n">
        <v>0</v>
      </c>
      <c r="P82" t="n">
        <v>0</v>
      </c>
      <c r="Q82" t="n">
        <v>0</v>
      </c>
      <c r="R82" t="n">
        <v>0</v>
      </c>
      <c r="S82" t="n">
        <v>0</v>
      </c>
      <c r="T82" t="n">
        <v>0</v>
      </c>
      <c r="U82" s="2" t="inlineStr"/>
    </row>
    <row r="83" ht="15" customHeight="1">
      <c r="A83" t="inlineStr">
        <is>
          <t>A 38107-2021</t>
        </is>
      </c>
      <c r="B83" t="inlineStr">
        <is>
          <t>avverkningsanmälan</t>
        </is>
      </c>
      <c r="C83" t="inlineStr">
        <is>
          <t>Avverkning för annat ändamål</t>
        </is>
      </c>
      <c r="D83" s="1" t="n">
        <v>44405</v>
      </c>
      <c r="E83" s="1" t="n">
        <v>46223</v>
      </c>
      <c r="F83" t="inlineStr">
        <is>
          <t>ÖSTERGÖTLANDS LÄN</t>
        </is>
      </c>
      <c r="G83" t="inlineStr">
        <is>
          <t>BOXHOLM</t>
        </is>
      </c>
      <c r="I83" t="n">
        <v>0.8</v>
      </c>
      <c r="J83" t="n">
        <v>0</v>
      </c>
      <c r="K83" t="n">
        <v>0</v>
      </c>
      <c r="L83" t="n">
        <v>0</v>
      </c>
      <c r="M83" t="n">
        <v>0</v>
      </c>
      <c r="N83" t="n">
        <v>0</v>
      </c>
      <c r="O83" t="n">
        <v>0</v>
      </c>
      <c r="P83" t="n">
        <v>0</v>
      </c>
      <c r="Q83" t="n">
        <v>0</v>
      </c>
      <c r="R83" t="n">
        <v>0</v>
      </c>
      <c r="S83" t="n">
        <v>0</v>
      </c>
      <c r="T83" t="n">
        <v>0</v>
      </c>
      <c r="U83" s="2" t="inlineStr"/>
    </row>
    <row r="84" ht="15" customHeight="1">
      <c r="A84" t="inlineStr">
        <is>
          <t>A 19561-2024</t>
        </is>
      </c>
      <c r="B84" t="inlineStr">
        <is>
          <t>avverkningsanmälan</t>
        </is>
      </c>
      <c r="C84" t="inlineStr">
        <is>
          <t>Föryngringsavverkning</t>
        </is>
      </c>
      <c r="D84" s="1" t="n">
        <v>45429</v>
      </c>
      <c r="E84" s="1" t="n">
        <v>46223</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s="2" t="inlineStr"/>
    </row>
    <row r="85" ht="15" customHeight="1">
      <c r="A85" t="inlineStr">
        <is>
          <t>A 933-2024</t>
        </is>
      </c>
      <c r="B85" t="inlineStr">
        <is>
          <t>avverkningsanmälan</t>
        </is>
      </c>
      <c r="C85" t="inlineStr">
        <is>
          <t>Föryngringsavverkning</t>
        </is>
      </c>
      <c r="D85" s="1" t="n">
        <v>45301</v>
      </c>
      <c r="E85" s="1" t="n">
        <v>46223</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s="2" t="inlineStr"/>
    </row>
    <row r="86" ht="15" customHeight="1">
      <c r="A86" t="inlineStr">
        <is>
          <t>A 51545-2023</t>
        </is>
      </c>
      <c r="B86" t="inlineStr">
        <is>
          <t>avverkningsanmälan</t>
        </is>
      </c>
      <c r="C86" t="inlineStr">
        <is>
          <t>Föryngringsavverkning</t>
        </is>
      </c>
      <c r="D86" s="1" t="n">
        <v>45222</v>
      </c>
      <c r="E86" s="1" t="n">
        <v>46223</v>
      </c>
      <c r="F86" t="inlineStr">
        <is>
          <t>ÖSTERGÖTLANDS LÄN</t>
        </is>
      </c>
      <c r="G86" t="inlineStr">
        <is>
          <t>BOXHOLM</t>
        </is>
      </c>
      <c r="I86" t="n">
        <v>4.3</v>
      </c>
      <c r="J86" t="n">
        <v>0</v>
      </c>
      <c r="K86" t="n">
        <v>0</v>
      </c>
      <c r="L86" t="n">
        <v>0</v>
      </c>
      <c r="M86" t="n">
        <v>0</v>
      </c>
      <c r="N86" t="n">
        <v>0</v>
      </c>
      <c r="O86" t="n">
        <v>0</v>
      </c>
      <c r="P86" t="n">
        <v>0</v>
      </c>
      <c r="Q86" t="n">
        <v>0</v>
      </c>
      <c r="R86" t="n">
        <v>0</v>
      </c>
      <c r="S86" t="n">
        <v>0</v>
      </c>
      <c r="T86" t="n">
        <v>0</v>
      </c>
      <c r="U86" s="2" t="inlineStr"/>
    </row>
    <row r="87" ht="15" customHeight="1">
      <c r="A87" t="inlineStr">
        <is>
          <t>A 40290-2024</t>
        </is>
      </c>
      <c r="B87" t="inlineStr">
        <is>
          <t>avverkningsanmälan</t>
        </is>
      </c>
      <c r="C87" t="inlineStr">
        <is>
          <t>Föryngringsavverkning</t>
        </is>
      </c>
      <c r="D87" s="1" t="n">
        <v>45554</v>
      </c>
      <c r="E87" s="1" t="n">
        <v>46223</v>
      </c>
      <c r="F87" t="inlineStr">
        <is>
          <t>ÖSTERGÖTLANDS LÄN</t>
        </is>
      </c>
      <c r="G87" t="inlineStr">
        <is>
          <t>BOXHOLM</t>
        </is>
      </c>
      <c r="I87" t="n">
        <v>2.2</v>
      </c>
      <c r="J87" t="n">
        <v>0</v>
      </c>
      <c r="K87" t="n">
        <v>0</v>
      </c>
      <c r="L87" t="n">
        <v>0</v>
      </c>
      <c r="M87" t="n">
        <v>0</v>
      </c>
      <c r="N87" t="n">
        <v>0</v>
      </c>
      <c r="O87" t="n">
        <v>0</v>
      </c>
      <c r="P87" t="n">
        <v>0</v>
      </c>
      <c r="Q87" t="n">
        <v>0</v>
      </c>
      <c r="R87" t="n">
        <v>0</v>
      </c>
      <c r="S87" t="n">
        <v>0</v>
      </c>
      <c r="T87" t="n">
        <v>0</v>
      </c>
      <c r="U87" s="2" t="inlineStr"/>
    </row>
    <row r="88" ht="15" customHeight="1">
      <c r="A88" t="inlineStr">
        <is>
          <t>A 25944-2024</t>
        </is>
      </c>
      <c r="B88" t="inlineStr">
        <is>
          <t>avverkningsanmälan</t>
        </is>
      </c>
      <c r="C88" t="inlineStr">
        <is>
          <t>Föryngringsavverkning</t>
        </is>
      </c>
      <c r="D88" s="1" t="n">
        <v>45467</v>
      </c>
      <c r="E88" s="1" t="n">
        <v>46223</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s="2" t="inlineStr"/>
    </row>
    <row r="89" ht="15" customHeight="1">
      <c r="A89" t="inlineStr">
        <is>
          <t>A 60790-2023</t>
        </is>
      </c>
      <c r="B89" t="inlineStr">
        <is>
          <t>avverkningsanmälan</t>
        </is>
      </c>
      <c r="C89" t="inlineStr">
        <is>
          <t>Föryngringsavverkning</t>
        </is>
      </c>
      <c r="D89" s="1" t="n">
        <v>45259</v>
      </c>
      <c r="E89" s="1" t="n">
        <v>46223</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s="2" t="inlineStr"/>
    </row>
    <row r="90" ht="15" customHeight="1">
      <c r="A90" t="inlineStr">
        <is>
          <t>A 60210-2023</t>
        </is>
      </c>
      <c r="B90" t="inlineStr">
        <is>
          <t>avverkningsanmälan</t>
        </is>
      </c>
      <c r="C90" t="inlineStr">
        <is>
          <t>Föryngringsavverkning</t>
        </is>
      </c>
      <c r="D90" s="1" t="n">
        <v>45258</v>
      </c>
      <c r="E90" s="1" t="n">
        <v>46223</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s="2" t="inlineStr"/>
    </row>
    <row r="91" ht="15" customHeight="1">
      <c r="A91" t="inlineStr">
        <is>
          <t>A 15746-2023</t>
        </is>
      </c>
      <c r="B91" t="inlineStr">
        <is>
          <t>avverkningsanmälan</t>
        </is>
      </c>
      <c r="C91" t="inlineStr">
        <is>
          <t>Föryngringsavverkning</t>
        </is>
      </c>
      <c r="D91" s="1" t="n">
        <v>45021</v>
      </c>
      <c r="E91" s="1" t="n">
        <v>46223</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s="2" t="inlineStr"/>
    </row>
    <row r="92" ht="15" customHeight="1">
      <c r="A92" t="inlineStr">
        <is>
          <t>A 48373-2022</t>
        </is>
      </c>
      <c r="B92" t="inlineStr">
        <is>
          <t>avverkningsanmälan</t>
        </is>
      </c>
      <c r="C92" t="inlineStr">
        <is>
          <t>Föryngringsavverkning</t>
        </is>
      </c>
      <c r="D92" s="1" t="n">
        <v>44858</v>
      </c>
      <c r="E92" s="1" t="n">
        <v>46223</v>
      </c>
      <c r="F92" t="inlineStr">
        <is>
          <t>ÖSTERGÖTLANDS LÄN</t>
        </is>
      </c>
      <c r="G92" t="inlineStr">
        <is>
          <t>BOXHOLM</t>
        </is>
      </c>
      <c r="H92" t="inlineStr">
        <is>
          <t>Övriga Aktiebolag</t>
        </is>
      </c>
      <c r="I92" t="n">
        <v>1</v>
      </c>
      <c r="J92" t="n">
        <v>0</v>
      </c>
      <c r="K92" t="n">
        <v>0</v>
      </c>
      <c r="L92" t="n">
        <v>0</v>
      </c>
      <c r="M92" t="n">
        <v>0</v>
      </c>
      <c r="N92" t="n">
        <v>0</v>
      </c>
      <c r="O92" t="n">
        <v>0</v>
      </c>
      <c r="P92" t="n">
        <v>0</v>
      </c>
      <c r="Q92" t="n">
        <v>0</v>
      </c>
      <c r="R92" t="n">
        <v>0</v>
      </c>
      <c r="S92" t="n">
        <v>0</v>
      </c>
      <c r="T92" t="n">
        <v>0</v>
      </c>
      <c r="U92" s="2" t="inlineStr"/>
    </row>
    <row r="93" ht="15" customHeight="1">
      <c r="A93" t="inlineStr">
        <is>
          <t>A 59779-2022</t>
        </is>
      </c>
      <c r="B93" t="inlineStr">
        <is>
          <t>avverkningsanmälan</t>
        </is>
      </c>
      <c r="C93" t="inlineStr">
        <is>
          <t>Föryngringsavverkning</t>
        </is>
      </c>
      <c r="D93" s="1" t="n">
        <v>44908</v>
      </c>
      <c r="E93" s="1" t="n">
        <v>46223</v>
      </c>
      <c r="F93" t="inlineStr">
        <is>
          <t>ÖSTERGÖTLANDS LÄN</t>
        </is>
      </c>
      <c r="G93" t="inlineStr">
        <is>
          <t>BOXHOLM</t>
        </is>
      </c>
      <c r="H93" t="inlineStr">
        <is>
          <t>Övriga Aktiebolag</t>
        </is>
      </c>
      <c r="I93" t="n">
        <v>4.1</v>
      </c>
      <c r="J93" t="n">
        <v>0</v>
      </c>
      <c r="K93" t="n">
        <v>0</v>
      </c>
      <c r="L93" t="n">
        <v>0</v>
      </c>
      <c r="M93" t="n">
        <v>0</v>
      </c>
      <c r="N93" t="n">
        <v>0</v>
      </c>
      <c r="O93" t="n">
        <v>0</v>
      </c>
      <c r="P93" t="n">
        <v>0</v>
      </c>
      <c r="Q93" t="n">
        <v>0</v>
      </c>
      <c r="R93" t="n">
        <v>0</v>
      </c>
      <c r="S93" t="n">
        <v>0</v>
      </c>
      <c r="T93" t="n">
        <v>0</v>
      </c>
      <c r="U93" s="2" t="inlineStr"/>
    </row>
    <row r="94" ht="15" customHeight="1">
      <c r="A94" t="inlineStr">
        <is>
          <t>A 1539-2025</t>
        </is>
      </c>
      <c r="B94" t="inlineStr">
        <is>
          <t>avverkningsanmälan</t>
        </is>
      </c>
      <c r="C94" t="inlineStr">
        <is>
          <t>Föryngringsavverkning</t>
        </is>
      </c>
      <c r="D94" s="1" t="n">
        <v>45670</v>
      </c>
      <c r="E94" s="1" t="n">
        <v>46223</v>
      </c>
      <c r="F94" t="inlineStr">
        <is>
          <t>ÖSTERGÖTLANDS LÄN</t>
        </is>
      </c>
      <c r="G94" t="inlineStr">
        <is>
          <t>BOXHOLM</t>
        </is>
      </c>
      <c r="H94" t="inlineStr">
        <is>
          <t>Övriga Aktiebolag</t>
        </is>
      </c>
      <c r="I94" t="n">
        <v>4.3</v>
      </c>
      <c r="J94" t="n">
        <v>0</v>
      </c>
      <c r="K94" t="n">
        <v>0</v>
      </c>
      <c r="L94" t="n">
        <v>0</v>
      </c>
      <c r="M94" t="n">
        <v>0</v>
      </c>
      <c r="N94" t="n">
        <v>0</v>
      </c>
      <c r="O94" t="n">
        <v>0</v>
      </c>
      <c r="P94" t="n">
        <v>0</v>
      </c>
      <c r="Q94" t="n">
        <v>0</v>
      </c>
      <c r="R94" t="n">
        <v>0</v>
      </c>
      <c r="S94" t="n">
        <v>0</v>
      </c>
      <c r="T94" t="n">
        <v>0</v>
      </c>
      <c r="U94" s="2" t="inlineStr"/>
    </row>
    <row r="95" ht="15" customHeight="1">
      <c r="A95" t="inlineStr">
        <is>
          <t>A 26643-2025</t>
        </is>
      </c>
      <c r="B95" t="inlineStr">
        <is>
          <t>avverkningsanmälan</t>
        </is>
      </c>
      <c r="C95" t="inlineStr">
        <is>
          <t>Föryngringsavverkning</t>
        </is>
      </c>
      <c r="D95" s="1" t="n">
        <v>45809</v>
      </c>
      <c r="E95" s="1" t="n">
        <v>46223</v>
      </c>
      <c r="F95" t="inlineStr">
        <is>
          <t>ÖSTERGÖTLANDS LÄN</t>
        </is>
      </c>
      <c r="G95" t="inlineStr">
        <is>
          <t>BOXHOLM</t>
        </is>
      </c>
      <c r="I95" t="n">
        <v>0.6</v>
      </c>
      <c r="J95" t="n">
        <v>0</v>
      </c>
      <c r="K95" t="n">
        <v>0</v>
      </c>
      <c r="L95" t="n">
        <v>0</v>
      </c>
      <c r="M95" t="n">
        <v>0</v>
      </c>
      <c r="N95" t="n">
        <v>0</v>
      </c>
      <c r="O95" t="n">
        <v>0</v>
      </c>
      <c r="P95" t="n">
        <v>0</v>
      </c>
      <c r="Q95" t="n">
        <v>0</v>
      </c>
      <c r="R95" t="n">
        <v>0</v>
      </c>
      <c r="S95" t="n">
        <v>0</v>
      </c>
      <c r="T95" t="n">
        <v>0</v>
      </c>
      <c r="U95" s="2" t="inlineStr"/>
    </row>
    <row r="96" ht="15" customHeight="1">
      <c r="A96" t="inlineStr">
        <is>
          <t>A 4005-2026</t>
        </is>
      </c>
      <c r="B96" t="inlineStr">
        <is>
          <t>avverkningsanmälan</t>
        </is>
      </c>
      <c r="C96" t="inlineStr">
        <is>
          <t>Föryngringsavverkning</t>
        </is>
      </c>
      <c r="D96" s="1" t="n">
        <v>46044</v>
      </c>
      <c r="E96" s="1" t="n">
        <v>46223</v>
      </c>
      <c r="F96" t="inlineStr">
        <is>
          <t>ÖSTERGÖTLANDS LÄN</t>
        </is>
      </c>
      <c r="G96" t="inlineStr">
        <is>
          <t>BOXHOLM</t>
        </is>
      </c>
      <c r="I96" t="n">
        <v>0.5</v>
      </c>
      <c r="J96" t="n">
        <v>0</v>
      </c>
      <c r="K96" t="n">
        <v>0</v>
      </c>
      <c r="L96" t="n">
        <v>0</v>
      </c>
      <c r="M96" t="n">
        <v>0</v>
      </c>
      <c r="N96" t="n">
        <v>0</v>
      </c>
      <c r="O96" t="n">
        <v>0</v>
      </c>
      <c r="P96" t="n">
        <v>0</v>
      </c>
      <c r="Q96" t="n">
        <v>0</v>
      </c>
      <c r="R96" t="n">
        <v>0</v>
      </c>
      <c r="S96" t="n">
        <v>0</v>
      </c>
      <c r="T96" t="n">
        <v>0</v>
      </c>
      <c r="U96" s="2" t="inlineStr"/>
    </row>
    <row r="97" ht="15" customHeight="1">
      <c r="A97" t="inlineStr">
        <is>
          <t>A 19356-2022</t>
        </is>
      </c>
      <c r="B97" t="inlineStr">
        <is>
          <t>avverkningsanmälan</t>
        </is>
      </c>
      <c r="C97" t="inlineStr">
        <is>
          <t>Föryngringsavverkning</t>
        </is>
      </c>
      <c r="D97" s="1" t="n">
        <v>44692</v>
      </c>
      <c r="E97" s="1" t="n">
        <v>46223</v>
      </c>
      <c r="F97" t="inlineStr">
        <is>
          <t>ÖSTERGÖTLANDS LÄN</t>
        </is>
      </c>
      <c r="G97" t="inlineStr">
        <is>
          <t>BOXHOLM</t>
        </is>
      </c>
      <c r="I97" t="n">
        <v>2.5</v>
      </c>
      <c r="J97" t="n">
        <v>0</v>
      </c>
      <c r="K97" t="n">
        <v>0</v>
      </c>
      <c r="L97" t="n">
        <v>0</v>
      </c>
      <c r="M97" t="n">
        <v>0</v>
      </c>
      <c r="N97" t="n">
        <v>0</v>
      </c>
      <c r="O97" t="n">
        <v>0</v>
      </c>
      <c r="P97" t="n">
        <v>0</v>
      </c>
      <c r="Q97" t="n">
        <v>0</v>
      </c>
      <c r="R97" t="n">
        <v>0</v>
      </c>
      <c r="S97" t="n">
        <v>0</v>
      </c>
      <c r="T97" t="n">
        <v>0</v>
      </c>
      <c r="U97" s="2" t="inlineStr"/>
    </row>
    <row r="98" ht="15" customHeight="1">
      <c r="A98" t="inlineStr">
        <is>
          <t>A 39486-2024</t>
        </is>
      </c>
      <c r="B98" t="inlineStr">
        <is>
          <t>avverkningsanmälan</t>
        </is>
      </c>
      <c r="C98" t="inlineStr">
        <is>
          <t>Föryngringsavverkning</t>
        </is>
      </c>
      <c r="D98" s="1" t="n">
        <v>45551</v>
      </c>
      <c r="E98" s="1" t="n">
        <v>46223</v>
      </c>
      <c r="F98" t="inlineStr">
        <is>
          <t>ÖSTERGÖTLANDS LÄN</t>
        </is>
      </c>
      <c r="G98" t="inlineStr">
        <is>
          <t>BOXHOLM</t>
        </is>
      </c>
      <c r="H98" t="inlineStr">
        <is>
          <t>Allmännings- och besparingsskogar</t>
        </is>
      </c>
      <c r="I98" t="n">
        <v>6</v>
      </c>
      <c r="J98" t="n">
        <v>0</v>
      </c>
      <c r="K98" t="n">
        <v>0</v>
      </c>
      <c r="L98" t="n">
        <v>0</v>
      </c>
      <c r="M98" t="n">
        <v>0</v>
      </c>
      <c r="N98" t="n">
        <v>0</v>
      </c>
      <c r="O98" t="n">
        <v>0</v>
      </c>
      <c r="P98" t="n">
        <v>0</v>
      </c>
      <c r="Q98" t="n">
        <v>0</v>
      </c>
      <c r="R98" t="n">
        <v>0</v>
      </c>
      <c r="S98" t="n">
        <v>0</v>
      </c>
      <c r="T98" t="n">
        <v>0</v>
      </c>
      <c r="U98" s="2" t="inlineStr"/>
    </row>
    <row r="99" ht="15" customHeight="1">
      <c r="A99" t="inlineStr">
        <is>
          <t>A 41080-2024</t>
        </is>
      </c>
      <c r="B99" t="inlineStr">
        <is>
          <t>avverkningsanmälan</t>
        </is>
      </c>
      <c r="C99" t="inlineStr">
        <is>
          <t>Föryngringsavverkning</t>
        </is>
      </c>
      <c r="D99" s="1" t="n">
        <v>45559</v>
      </c>
      <c r="E99" s="1" t="n">
        <v>46223</v>
      </c>
      <c r="F99" t="inlineStr">
        <is>
          <t>ÖSTERGÖTLANDS LÄN</t>
        </is>
      </c>
      <c r="G99" t="inlineStr">
        <is>
          <t>BOXHOLM</t>
        </is>
      </c>
      <c r="H99" t="inlineStr">
        <is>
          <t>Allmännings- och besparingsskogar</t>
        </is>
      </c>
      <c r="I99" t="n">
        <v>7</v>
      </c>
      <c r="J99" t="n">
        <v>0</v>
      </c>
      <c r="K99" t="n">
        <v>0</v>
      </c>
      <c r="L99" t="n">
        <v>0</v>
      </c>
      <c r="M99" t="n">
        <v>0</v>
      </c>
      <c r="N99" t="n">
        <v>0</v>
      </c>
      <c r="O99" t="n">
        <v>0</v>
      </c>
      <c r="P99" t="n">
        <v>0</v>
      </c>
      <c r="Q99" t="n">
        <v>0</v>
      </c>
      <c r="R99" t="n">
        <v>0</v>
      </c>
      <c r="S99" t="n">
        <v>0</v>
      </c>
      <c r="T99" t="n">
        <v>0</v>
      </c>
      <c r="U99" s="2" t="inlineStr"/>
    </row>
    <row r="100" ht="15" customHeight="1">
      <c r="A100" t="inlineStr">
        <is>
          <t>A 1597-2023</t>
        </is>
      </c>
      <c r="B100" t="inlineStr">
        <is>
          <t>avverkningsanmälan</t>
        </is>
      </c>
      <c r="C100" t="inlineStr">
        <is>
          <t>Föryngringsavverkning</t>
        </is>
      </c>
      <c r="D100" s="1" t="n">
        <v>44937</v>
      </c>
      <c r="E100" s="1" t="n">
        <v>46223</v>
      </c>
      <c r="F100" t="inlineStr">
        <is>
          <t>ÖSTERGÖTLANDS LÄN</t>
        </is>
      </c>
      <c r="G100" t="inlineStr">
        <is>
          <t>BOXHOLM</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51757-2023</t>
        </is>
      </c>
      <c r="B101" t="inlineStr">
        <is>
          <t>avverkningsanmälan</t>
        </is>
      </c>
      <c r="C101" t="inlineStr">
        <is>
          <t>Föryngringsavverkning</t>
        </is>
      </c>
      <c r="D101" s="1" t="n">
        <v>45222</v>
      </c>
      <c r="E101" s="1" t="n">
        <v>46223</v>
      </c>
      <c r="F101" t="inlineStr">
        <is>
          <t>ÖSTERGÖTLANDS LÄN</t>
        </is>
      </c>
      <c r="G101" t="inlineStr">
        <is>
          <t>BOXHOLM</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55181-2022</t>
        </is>
      </c>
      <c r="B102" t="inlineStr">
        <is>
          <t>avverkningsanmälan</t>
        </is>
      </c>
      <c r="C102" t="inlineStr">
        <is>
          <t>Föryngringsavverkning</t>
        </is>
      </c>
      <c r="D102" s="1" t="n">
        <v>44886</v>
      </c>
      <c r="E102" s="1" t="n">
        <v>46223</v>
      </c>
      <c r="F102" t="inlineStr">
        <is>
          <t>ÖSTERGÖTLANDS LÄN</t>
        </is>
      </c>
      <c r="G102" t="inlineStr">
        <is>
          <t>BOXHOLM</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55183-2022</t>
        </is>
      </c>
      <c r="B103" t="inlineStr">
        <is>
          <t>avverkningsanmälan</t>
        </is>
      </c>
      <c r="C103" t="inlineStr">
        <is>
          <t>Föryngringsavverkning</t>
        </is>
      </c>
      <c r="D103" s="1" t="n">
        <v>44886</v>
      </c>
      <c r="E103" s="1" t="n">
        <v>46223</v>
      </c>
      <c r="F103" t="inlineStr">
        <is>
          <t>ÖSTERGÖTLANDS LÄN</t>
        </is>
      </c>
      <c r="G103" t="inlineStr">
        <is>
          <t>BOXHOLM</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55252-2022</t>
        </is>
      </c>
      <c r="B104" t="inlineStr">
        <is>
          <t>avverkningsanmälan</t>
        </is>
      </c>
      <c r="C104" t="inlineStr">
        <is>
          <t>Föryngringsavverkning</t>
        </is>
      </c>
      <c r="D104" s="1" t="n">
        <v>44887</v>
      </c>
      <c r="E104" s="1" t="n">
        <v>46223</v>
      </c>
      <c r="F104" t="inlineStr">
        <is>
          <t>ÖSTERGÖTLANDS LÄN</t>
        </is>
      </c>
      <c r="G104" t="inlineStr">
        <is>
          <t>BOXHOLM</t>
        </is>
      </c>
      <c r="H104" t="inlineStr">
        <is>
          <t>Övriga Aktiebolag</t>
        </is>
      </c>
      <c r="I104" t="n">
        <v>3.8</v>
      </c>
      <c r="J104" t="n">
        <v>0</v>
      </c>
      <c r="K104" t="n">
        <v>0</v>
      </c>
      <c r="L104" t="n">
        <v>0</v>
      </c>
      <c r="M104" t="n">
        <v>0</v>
      </c>
      <c r="N104" t="n">
        <v>0</v>
      </c>
      <c r="O104" t="n">
        <v>0</v>
      </c>
      <c r="P104" t="n">
        <v>0</v>
      </c>
      <c r="Q104" t="n">
        <v>0</v>
      </c>
      <c r="R104" t="n">
        <v>0</v>
      </c>
      <c r="S104" t="n">
        <v>0</v>
      </c>
      <c r="T104" t="n">
        <v>0</v>
      </c>
      <c r="U104" s="2" t="inlineStr"/>
    </row>
    <row r="105" ht="15" customHeight="1">
      <c r="A105" t="inlineStr">
        <is>
          <t>A 39693-2024</t>
        </is>
      </c>
      <c r="B105" t="inlineStr">
        <is>
          <t>avverkningsanmälan</t>
        </is>
      </c>
      <c r="C105" t="inlineStr">
        <is>
          <t>Föryngringsavverkning</t>
        </is>
      </c>
      <c r="D105" s="1" t="n">
        <v>45552</v>
      </c>
      <c r="E105" s="1" t="n">
        <v>46223</v>
      </c>
      <c r="F105" t="inlineStr">
        <is>
          <t>ÖSTERGÖTLANDS LÄN</t>
        </is>
      </c>
      <c r="G105" t="inlineStr">
        <is>
          <t>BOXHOLM</t>
        </is>
      </c>
      <c r="H105" t="inlineStr">
        <is>
          <t>Allmännings- och besparingsskogar</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40583-2025</t>
        </is>
      </c>
      <c r="B106" t="inlineStr">
        <is>
          <t>avverkningsanmälan</t>
        </is>
      </c>
      <c r="C106" t="inlineStr">
        <is>
          <t>Föryngringsavverkning</t>
        </is>
      </c>
      <c r="D106" s="1" t="n">
        <v>45896</v>
      </c>
      <c r="E106" s="1" t="n">
        <v>46223</v>
      </c>
      <c r="F106" t="inlineStr">
        <is>
          <t>ÖSTERGÖTLANDS LÄN</t>
        </is>
      </c>
      <c r="G106" t="inlineStr">
        <is>
          <t>BOXHOLM</t>
        </is>
      </c>
      <c r="I106" t="n">
        <v>5</v>
      </c>
      <c r="J106" t="n">
        <v>0</v>
      </c>
      <c r="K106" t="n">
        <v>0</v>
      </c>
      <c r="L106" t="n">
        <v>0</v>
      </c>
      <c r="M106" t="n">
        <v>0</v>
      </c>
      <c r="N106" t="n">
        <v>0</v>
      </c>
      <c r="O106" t="n">
        <v>0</v>
      </c>
      <c r="P106" t="n">
        <v>0</v>
      </c>
      <c r="Q106" t="n">
        <v>0</v>
      </c>
      <c r="R106" t="n">
        <v>0</v>
      </c>
      <c r="S106" t="n">
        <v>0</v>
      </c>
      <c r="T106" t="n">
        <v>0</v>
      </c>
      <c r="U106" s="2" t="inlineStr"/>
    </row>
    <row r="107" ht="15" customHeight="1">
      <c r="A107" t="inlineStr">
        <is>
          <t>A 40594-2025</t>
        </is>
      </c>
      <c r="B107" t="inlineStr">
        <is>
          <t>avverkningsanmälan</t>
        </is>
      </c>
      <c r="C107" t="inlineStr">
        <is>
          <t>Föryngringsavverkning</t>
        </is>
      </c>
      <c r="D107" s="1" t="n">
        <v>45896</v>
      </c>
      <c r="E107" s="1" t="n">
        <v>46223</v>
      </c>
      <c r="F107" t="inlineStr">
        <is>
          <t>ÖSTERGÖTLANDS LÄN</t>
        </is>
      </c>
      <c r="G107" t="inlineStr">
        <is>
          <t>BOXHOLM</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45859-2024</t>
        </is>
      </c>
      <c r="B108" t="inlineStr">
        <is>
          <t>avverkningsanmälan</t>
        </is>
      </c>
      <c r="C108" t="inlineStr">
        <is>
          <t>Föryngringsavverkning</t>
        </is>
      </c>
      <c r="D108" s="1" t="n">
        <v>45580</v>
      </c>
      <c r="E108" s="1" t="n">
        <v>46223</v>
      </c>
      <c r="F108" t="inlineStr">
        <is>
          <t>ÖSTERGÖTLANDS LÄN</t>
        </is>
      </c>
      <c r="G108" t="inlineStr">
        <is>
          <t>BOXHOLM</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53316-2024</t>
        </is>
      </c>
      <c r="B109" t="inlineStr">
        <is>
          <t>avverkningsanmälan</t>
        </is>
      </c>
      <c r="C109" t="inlineStr">
        <is>
          <t>Föryngringsavverkning</t>
        </is>
      </c>
      <c r="D109" s="1" t="n">
        <v>45614</v>
      </c>
      <c r="E109" s="1" t="n">
        <v>46223</v>
      </c>
      <c r="F109" t="inlineStr">
        <is>
          <t>ÖSTERGÖTLANDS LÄN</t>
        </is>
      </c>
      <c r="G109" t="inlineStr">
        <is>
          <t>BOXHOLM</t>
        </is>
      </c>
      <c r="H109" t="inlineStr">
        <is>
          <t>Övriga Aktiebolag</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53356-2024</t>
        </is>
      </c>
      <c r="B110" t="inlineStr">
        <is>
          <t>avverkningsanmälan</t>
        </is>
      </c>
      <c r="C110" t="inlineStr">
        <is>
          <t>Föryngringsavverkning</t>
        </is>
      </c>
      <c r="D110" s="1" t="n">
        <v>45614</v>
      </c>
      <c r="E110" s="1" t="n">
        <v>46223</v>
      </c>
      <c r="F110" t="inlineStr">
        <is>
          <t>ÖSTERGÖTLANDS LÄN</t>
        </is>
      </c>
      <c r="G110" t="inlineStr">
        <is>
          <t>BOXHOLM</t>
        </is>
      </c>
      <c r="H110" t="inlineStr">
        <is>
          <t>Övriga Aktiebolag</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41741-2025</t>
        </is>
      </c>
      <c r="B111" t="inlineStr">
        <is>
          <t>avverkningsanmälan</t>
        </is>
      </c>
      <c r="C111" t="inlineStr">
        <is>
          <t>Avverkning för att bevara och utveckla /försöksver</t>
        </is>
      </c>
      <c r="D111" s="1" t="n">
        <v>45902</v>
      </c>
      <c r="E111" s="1" t="n">
        <v>46223</v>
      </c>
      <c r="F111" t="inlineStr">
        <is>
          <t>ÖSTERGÖTLANDS LÄN</t>
        </is>
      </c>
      <c r="G111" t="inlineStr">
        <is>
          <t>BOXHOLM</t>
        </is>
      </c>
      <c r="H111" t="inlineStr">
        <is>
          <t>Övriga Aktiebolag</t>
        </is>
      </c>
      <c r="I111" t="n">
        <v>2.3</v>
      </c>
      <c r="J111" t="n">
        <v>0</v>
      </c>
      <c r="K111" t="n">
        <v>0</v>
      </c>
      <c r="L111" t="n">
        <v>0</v>
      </c>
      <c r="M111" t="n">
        <v>0</v>
      </c>
      <c r="N111" t="n">
        <v>0</v>
      </c>
      <c r="O111" t="n">
        <v>0</v>
      </c>
      <c r="P111" t="n">
        <v>0</v>
      </c>
      <c r="Q111" t="n">
        <v>0</v>
      </c>
      <c r="R111" t="n">
        <v>0</v>
      </c>
      <c r="S111" t="n">
        <v>0</v>
      </c>
      <c r="T111" t="n">
        <v>0</v>
      </c>
      <c r="U111" s="2" t="inlineStr"/>
    </row>
    <row r="112" ht="15" customHeight="1">
      <c r="A112" t="inlineStr">
        <is>
          <t>A 51763-2023</t>
        </is>
      </c>
      <c r="B112" t="inlineStr">
        <is>
          <t>avverkningsanmälan</t>
        </is>
      </c>
      <c r="C112" t="inlineStr">
        <is>
          <t>Föryngringsavverkning</t>
        </is>
      </c>
      <c r="D112" s="1" t="n">
        <v>45222</v>
      </c>
      <c r="E112" s="1" t="n">
        <v>46223</v>
      </c>
      <c r="F112" t="inlineStr">
        <is>
          <t>ÖSTERGÖTLANDS LÄN</t>
        </is>
      </c>
      <c r="G112" t="inlineStr">
        <is>
          <t>BOXHOLM</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22046-2022</t>
        </is>
      </c>
      <c r="B113" t="inlineStr">
        <is>
          <t>avverkningsanmälan</t>
        </is>
      </c>
      <c r="C113" t="inlineStr">
        <is>
          <t>Föryngringsavverkning</t>
        </is>
      </c>
      <c r="D113" s="1" t="n">
        <v>44711</v>
      </c>
      <c r="E113" s="1" t="n">
        <v>46223</v>
      </c>
      <c r="F113" t="inlineStr">
        <is>
          <t>ÖSTERGÖTLANDS LÄN</t>
        </is>
      </c>
      <c r="G113" t="inlineStr">
        <is>
          <t>BOXHOLM</t>
        </is>
      </c>
      <c r="H113" t="inlineStr">
        <is>
          <t>Övriga Aktiebolag</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51625-2022</t>
        </is>
      </c>
      <c r="B114" t="inlineStr">
        <is>
          <t>avverkningsanmälan</t>
        </is>
      </c>
      <c r="C114" t="inlineStr">
        <is>
          <t>Föryngringsavverkning</t>
        </is>
      </c>
      <c r="D114" s="1" t="n">
        <v>44872</v>
      </c>
      <c r="E114" s="1" t="n">
        <v>46223</v>
      </c>
      <c r="F114" t="inlineStr">
        <is>
          <t>ÖSTERGÖTLANDS LÄN</t>
        </is>
      </c>
      <c r="G114" t="inlineStr">
        <is>
          <t>BOXHOLM</t>
        </is>
      </c>
      <c r="H114" t="inlineStr">
        <is>
          <t>Övriga Aktiebolag</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43599-2025</t>
        </is>
      </c>
      <c r="B115" t="inlineStr">
        <is>
          <t>avverkningsanmälan</t>
        </is>
      </c>
      <c r="C115" t="inlineStr">
        <is>
          <t>Föryngringsavverkning</t>
        </is>
      </c>
      <c r="D115" s="1" t="n">
        <v>45911</v>
      </c>
      <c r="E115" s="1" t="n">
        <v>46223</v>
      </c>
      <c r="F115" t="inlineStr">
        <is>
          <t>ÖSTERGÖTLANDS LÄN</t>
        </is>
      </c>
      <c r="G115" t="inlineStr">
        <is>
          <t>BOXHOLM</t>
        </is>
      </c>
      <c r="I115" t="n">
        <v>2.5</v>
      </c>
      <c r="J115" t="n">
        <v>0</v>
      </c>
      <c r="K115" t="n">
        <v>0</v>
      </c>
      <c r="L115" t="n">
        <v>0</v>
      </c>
      <c r="M115" t="n">
        <v>0</v>
      </c>
      <c r="N115" t="n">
        <v>0</v>
      </c>
      <c r="O115" t="n">
        <v>0</v>
      </c>
      <c r="P115" t="n">
        <v>0</v>
      </c>
      <c r="Q115" t="n">
        <v>0</v>
      </c>
      <c r="R115" t="n">
        <v>0</v>
      </c>
      <c r="S115" t="n">
        <v>0</v>
      </c>
      <c r="T115" t="n">
        <v>0</v>
      </c>
      <c r="U115" s="2" t="inlineStr"/>
    </row>
    <row r="116" ht="15" customHeight="1">
      <c r="A116" t="inlineStr">
        <is>
          <t>A 44758-2025</t>
        </is>
      </c>
      <c r="B116" t="inlineStr">
        <is>
          <t>avverkningsanmälan</t>
        </is>
      </c>
      <c r="C116" t="inlineStr">
        <is>
          <t>Föryngringsavverkning</t>
        </is>
      </c>
      <c r="D116" s="1" t="n">
        <v>45917</v>
      </c>
      <c r="E116" s="1" t="n">
        <v>46223</v>
      </c>
      <c r="F116" t="inlineStr">
        <is>
          <t>ÖSTERGÖTLANDS LÄN</t>
        </is>
      </c>
      <c r="G116" t="inlineStr">
        <is>
          <t>BOXHOLM</t>
        </is>
      </c>
      <c r="I116" t="n">
        <v>5.6</v>
      </c>
      <c r="J116" t="n">
        <v>0</v>
      </c>
      <c r="K116" t="n">
        <v>0</v>
      </c>
      <c r="L116" t="n">
        <v>0</v>
      </c>
      <c r="M116" t="n">
        <v>0</v>
      </c>
      <c r="N116" t="n">
        <v>0</v>
      </c>
      <c r="O116" t="n">
        <v>0</v>
      </c>
      <c r="P116" t="n">
        <v>0</v>
      </c>
      <c r="Q116" t="n">
        <v>0</v>
      </c>
      <c r="R116" t="n">
        <v>0</v>
      </c>
      <c r="S116" t="n">
        <v>0</v>
      </c>
      <c r="T116" t="n">
        <v>0</v>
      </c>
      <c r="U116" s="2" t="inlineStr"/>
    </row>
    <row r="117" ht="15" customHeight="1">
      <c r="A117" t="inlineStr">
        <is>
          <t>A 44803-2025</t>
        </is>
      </c>
      <c r="B117" t="inlineStr">
        <is>
          <t>avverkningsanmälan</t>
        </is>
      </c>
      <c r="C117" t="inlineStr">
        <is>
          <t>Föryngringsavverkning</t>
        </is>
      </c>
      <c r="D117" s="1" t="n">
        <v>45918</v>
      </c>
      <c r="E117" s="1" t="n">
        <v>46223</v>
      </c>
      <c r="F117" t="inlineStr">
        <is>
          <t>ÖSTERGÖTLANDS LÄN</t>
        </is>
      </c>
      <c r="G117" t="inlineStr">
        <is>
          <t>BOXHOLM</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44658-2025</t>
        </is>
      </c>
      <c r="B118" t="inlineStr">
        <is>
          <t>avverkningsanmälan</t>
        </is>
      </c>
      <c r="C118" t="inlineStr">
        <is>
          <t>Avverkning för att bevara och utveckla /försöksver</t>
        </is>
      </c>
      <c r="D118" s="1" t="n">
        <v>45917</v>
      </c>
      <c r="E118" s="1" t="n">
        <v>46223</v>
      </c>
      <c r="F118" t="inlineStr">
        <is>
          <t>ÖSTERGÖTLANDS LÄN</t>
        </is>
      </c>
      <c r="G118" t="inlineStr">
        <is>
          <t>BOXHOLM</t>
        </is>
      </c>
      <c r="H118" t="inlineStr">
        <is>
          <t>Övriga Aktiebolag</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16635-2022</t>
        </is>
      </c>
      <c r="B119" t="inlineStr">
        <is>
          <t>avverkningsanmälan</t>
        </is>
      </c>
      <c r="C119" t="inlineStr">
        <is>
          <t>Föryngringsavverkning</t>
        </is>
      </c>
      <c r="D119" s="1" t="n">
        <v>44672</v>
      </c>
      <c r="E119" s="1" t="n">
        <v>46223</v>
      </c>
      <c r="F119" t="inlineStr">
        <is>
          <t>ÖSTERGÖTLANDS LÄN</t>
        </is>
      </c>
      <c r="G119" t="inlineStr">
        <is>
          <t>BOXHOLM</t>
        </is>
      </c>
      <c r="I119" t="n">
        <v>2.9</v>
      </c>
      <c r="J119" t="n">
        <v>0</v>
      </c>
      <c r="K119" t="n">
        <v>0</v>
      </c>
      <c r="L119" t="n">
        <v>0</v>
      </c>
      <c r="M119" t="n">
        <v>0</v>
      </c>
      <c r="N119" t="n">
        <v>0</v>
      </c>
      <c r="O119" t="n">
        <v>0</v>
      </c>
      <c r="P119" t="n">
        <v>0</v>
      </c>
      <c r="Q119" t="n">
        <v>0</v>
      </c>
      <c r="R119" t="n">
        <v>0</v>
      </c>
      <c r="S119" t="n">
        <v>0</v>
      </c>
      <c r="T119" t="n">
        <v>0</v>
      </c>
      <c r="U119" s="2" t="inlineStr"/>
    </row>
    <row r="120" ht="15" customHeight="1">
      <c r="A120" t="inlineStr">
        <is>
          <t>A 44696-2025</t>
        </is>
      </c>
      <c r="B120" t="inlineStr">
        <is>
          <t>avverkningsanmälan</t>
        </is>
      </c>
      <c r="C120" t="inlineStr">
        <is>
          <t>Föryngringsavverkning</t>
        </is>
      </c>
      <c r="D120" s="1" t="n">
        <v>45917</v>
      </c>
      <c r="E120" s="1" t="n">
        <v>46223</v>
      </c>
      <c r="F120" t="inlineStr">
        <is>
          <t>ÖSTERGÖTLANDS LÄN</t>
        </is>
      </c>
      <c r="G120" t="inlineStr">
        <is>
          <t>BOXHOLM</t>
        </is>
      </c>
      <c r="H120" t="inlineStr">
        <is>
          <t>Övriga Aktiebolag</t>
        </is>
      </c>
      <c r="I120" t="n">
        <v>1.8</v>
      </c>
      <c r="J120" t="n">
        <v>0</v>
      </c>
      <c r="K120" t="n">
        <v>0</v>
      </c>
      <c r="L120" t="n">
        <v>0</v>
      </c>
      <c r="M120" t="n">
        <v>0</v>
      </c>
      <c r="N120" t="n">
        <v>0</v>
      </c>
      <c r="O120" t="n">
        <v>0</v>
      </c>
      <c r="P120" t="n">
        <v>0</v>
      </c>
      <c r="Q120" t="n">
        <v>0</v>
      </c>
      <c r="R120" t="n">
        <v>0</v>
      </c>
      <c r="S120" t="n">
        <v>0</v>
      </c>
      <c r="T120" t="n">
        <v>0</v>
      </c>
      <c r="U120" s="2" t="inlineStr"/>
    </row>
    <row r="121" ht="15" customHeight="1">
      <c r="A121" t="inlineStr">
        <is>
          <t>A 44706-2025</t>
        </is>
      </c>
      <c r="B121" t="inlineStr">
        <is>
          <t>avverkningsanmälan</t>
        </is>
      </c>
      <c r="C121" t="inlineStr">
        <is>
          <t>Föryngringsavverkning</t>
        </is>
      </c>
      <c r="D121" s="1" t="n">
        <v>45917</v>
      </c>
      <c r="E121" s="1" t="n">
        <v>46223</v>
      </c>
      <c r="F121" t="inlineStr">
        <is>
          <t>ÖSTERGÖTLANDS LÄN</t>
        </is>
      </c>
      <c r="G121" t="inlineStr">
        <is>
          <t>BOXHOLM</t>
        </is>
      </c>
      <c r="H121" t="inlineStr">
        <is>
          <t>Övriga Aktiebolag</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44703-2025</t>
        </is>
      </c>
      <c r="B122" t="inlineStr">
        <is>
          <t>avverkningsanmälan</t>
        </is>
      </c>
      <c r="C122" t="inlineStr">
        <is>
          <t>Föryngringsavverkning</t>
        </is>
      </c>
      <c r="D122" s="1" t="n">
        <v>45917</v>
      </c>
      <c r="E122" s="1" t="n">
        <v>46223</v>
      </c>
      <c r="F122" t="inlineStr">
        <is>
          <t>ÖSTERGÖTLANDS LÄN</t>
        </is>
      </c>
      <c r="G122" t="inlineStr">
        <is>
          <t>BOXHOLM</t>
        </is>
      </c>
      <c r="H122" t="inlineStr">
        <is>
          <t>Övriga Aktiebolag</t>
        </is>
      </c>
      <c r="I122" t="n">
        <v>3.6</v>
      </c>
      <c r="J122" t="n">
        <v>0</v>
      </c>
      <c r="K122" t="n">
        <v>0</v>
      </c>
      <c r="L122" t="n">
        <v>0</v>
      </c>
      <c r="M122" t="n">
        <v>0</v>
      </c>
      <c r="N122" t="n">
        <v>0</v>
      </c>
      <c r="O122" t="n">
        <v>0</v>
      </c>
      <c r="P122" t="n">
        <v>0</v>
      </c>
      <c r="Q122" t="n">
        <v>0</v>
      </c>
      <c r="R122" t="n">
        <v>0</v>
      </c>
      <c r="S122" t="n">
        <v>0</v>
      </c>
      <c r="T122" t="n">
        <v>0</v>
      </c>
      <c r="U122" s="2" t="inlineStr"/>
    </row>
    <row r="123" ht="15" customHeight="1">
      <c r="A123" t="inlineStr">
        <is>
          <t>A 45266-2025</t>
        </is>
      </c>
      <c r="B123" t="inlineStr">
        <is>
          <t>avverkningsanmälan</t>
        </is>
      </c>
      <c r="C123" t="inlineStr">
        <is>
          <t>Föryngringsavverkning</t>
        </is>
      </c>
      <c r="D123" s="1" t="n">
        <v>45919</v>
      </c>
      <c r="E123" s="1" t="n">
        <v>46223</v>
      </c>
      <c r="F123" t="inlineStr">
        <is>
          <t>ÖSTERGÖTLANDS LÄN</t>
        </is>
      </c>
      <c r="G123" t="inlineStr">
        <is>
          <t>BOXHOLM</t>
        </is>
      </c>
      <c r="I123" t="n">
        <v>3</v>
      </c>
      <c r="J123" t="n">
        <v>0</v>
      </c>
      <c r="K123" t="n">
        <v>0</v>
      </c>
      <c r="L123" t="n">
        <v>0</v>
      </c>
      <c r="M123" t="n">
        <v>0</v>
      </c>
      <c r="N123" t="n">
        <v>0</v>
      </c>
      <c r="O123" t="n">
        <v>0</v>
      </c>
      <c r="P123" t="n">
        <v>0</v>
      </c>
      <c r="Q123" t="n">
        <v>0</v>
      </c>
      <c r="R123" t="n">
        <v>0</v>
      </c>
      <c r="S123" t="n">
        <v>0</v>
      </c>
      <c r="T123" t="n">
        <v>0</v>
      </c>
      <c r="U123" s="2" t="inlineStr"/>
    </row>
    <row r="124" ht="15" customHeight="1">
      <c r="A124" t="inlineStr">
        <is>
          <t>A 29612-2025</t>
        </is>
      </c>
      <c r="B124" t="inlineStr">
        <is>
          <t>avverkningsanmälan</t>
        </is>
      </c>
      <c r="C124" t="inlineStr">
        <is>
          <t>Föryngringsavverkning</t>
        </is>
      </c>
      <c r="D124" s="1" t="n">
        <v>45825</v>
      </c>
      <c r="E124" s="1" t="n">
        <v>46223</v>
      </c>
      <c r="F124" t="inlineStr">
        <is>
          <t>ÖSTERGÖTLANDS LÄN</t>
        </is>
      </c>
      <c r="G124" t="inlineStr">
        <is>
          <t>BOXHOLM</t>
        </is>
      </c>
      <c r="H124" t="inlineStr">
        <is>
          <t>Övriga Aktiebolag</t>
        </is>
      </c>
      <c r="I124" t="n">
        <v>2.8</v>
      </c>
      <c r="J124" t="n">
        <v>0</v>
      </c>
      <c r="K124" t="n">
        <v>0</v>
      </c>
      <c r="L124" t="n">
        <v>0</v>
      </c>
      <c r="M124" t="n">
        <v>0</v>
      </c>
      <c r="N124" t="n">
        <v>0</v>
      </c>
      <c r="O124" t="n">
        <v>0</v>
      </c>
      <c r="P124" t="n">
        <v>0</v>
      </c>
      <c r="Q124" t="n">
        <v>0</v>
      </c>
      <c r="R124" t="n">
        <v>0</v>
      </c>
      <c r="S124" t="n">
        <v>0</v>
      </c>
      <c r="T124" t="n">
        <v>0</v>
      </c>
      <c r="U124" s="2" t="inlineStr"/>
    </row>
    <row r="125" ht="15" customHeight="1">
      <c r="A125" t="inlineStr">
        <is>
          <t>A 46200-2025</t>
        </is>
      </c>
      <c r="B125" t="inlineStr">
        <is>
          <t>avverkningsanmälan</t>
        </is>
      </c>
      <c r="C125" t="inlineStr">
        <is>
          <t>Föryngringsavverkning</t>
        </is>
      </c>
      <c r="D125" s="1" t="n">
        <v>45924</v>
      </c>
      <c r="E125" s="1" t="n">
        <v>46223</v>
      </c>
      <c r="F125" t="inlineStr">
        <is>
          <t>ÖSTERGÖTLANDS LÄN</t>
        </is>
      </c>
      <c r="G125" t="inlineStr">
        <is>
          <t>BOXHOLM</t>
        </is>
      </c>
      <c r="I125" t="n">
        <v>3.2</v>
      </c>
      <c r="J125" t="n">
        <v>0</v>
      </c>
      <c r="K125" t="n">
        <v>0</v>
      </c>
      <c r="L125" t="n">
        <v>0</v>
      </c>
      <c r="M125" t="n">
        <v>0</v>
      </c>
      <c r="N125" t="n">
        <v>0</v>
      </c>
      <c r="O125" t="n">
        <v>0</v>
      </c>
      <c r="P125" t="n">
        <v>0</v>
      </c>
      <c r="Q125" t="n">
        <v>0</v>
      </c>
      <c r="R125" t="n">
        <v>0</v>
      </c>
      <c r="S125" t="n">
        <v>0</v>
      </c>
      <c r="T125" t="n">
        <v>0</v>
      </c>
      <c r="U125" s="2" t="inlineStr"/>
    </row>
    <row r="126" ht="15" customHeight="1">
      <c r="A126" t="inlineStr">
        <is>
          <t>A 2198-2023</t>
        </is>
      </c>
      <c r="B126" t="inlineStr">
        <is>
          <t>avverkningsanmälan</t>
        </is>
      </c>
      <c r="C126" t="inlineStr">
        <is>
          <t>Föryngringsavverkning</t>
        </is>
      </c>
      <c r="D126" s="1" t="n">
        <v>44942</v>
      </c>
      <c r="E126" s="1" t="n">
        <v>46223</v>
      </c>
      <c r="F126" t="inlineStr">
        <is>
          <t>ÖSTERGÖTLANDS LÄN</t>
        </is>
      </c>
      <c r="G126" t="inlineStr">
        <is>
          <t>BOXHOLM</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46199-2025</t>
        </is>
      </c>
      <c r="B127" t="inlineStr">
        <is>
          <t>avverkningsanmälan</t>
        </is>
      </c>
      <c r="C127" t="inlineStr">
        <is>
          <t>Föryngringsavverkning</t>
        </is>
      </c>
      <c r="D127" s="1" t="n">
        <v>45924</v>
      </c>
      <c r="E127" s="1" t="n">
        <v>46223</v>
      </c>
      <c r="F127" t="inlineStr">
        <is>
          <t>ÖSTERGÖTLANDS LÄN</t>
        </is>
      </c>
      <c r="G127" t="inlineStr">
        <is>
          <t>BOXHOLM</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57132-2024</t>
        </is>
      </c>
      <c r="B128" t="inlineStr">
        <is>
          <t>avverkningsanmälan</t>
        </is>
      </c>
      <c r="C128" t="inlineStr">
        <is>
          <t>Avverkning för att bevara och utveckla /försöksver</t>
        </is>
      </c>
      <c r="D128" s="1" t="n">
        <v>45629</v>
      </c>
      <c r="E128" s="1" t="n">
        <v>46223</v>
      </c>
      <c r="F128" t="inlineStr">
        <is>
          <t>ÖSTERGÖTLANDS LÄN</t>
        </is>
      </c>
      <c r="G128" t="inlineStr">
        <is>
          <t>BOXHOLM</t>
        </is>
      </c>
      <c r="H128" t="inlineStr">
        <is>
          <t>Övriga Aktiebolag</t>
        </is>
      </c>
      <c r="I128" t="n">
        <v>7</v>
      </c>
      <c r="J128" t="n">
        <v>0</v>
      </c>
      <c r="K128" t="n">
        <v>0</v>
      </c>
      <c r="L128" t="n">
        <v>0</v>
      </c>
      <c r="M128" t="n">
        <v>0</v>
      </c>
      <c r="N128" t="n">
        <v>0</v>
      </c>
      <c r="O128" t="n">
        <v>0</v>
      </c>
      <c r="P128" t="n">
        <v>0</v>
      </c>
      <c r="Q128" t="n">
        <v>0</v>
      </c>
      <c r="R128" t="n">
        <v>0</v>
      </c>
      <c r="S128" t="n">
        <v>0</v>
      </c>
      <c r="T128" t="n">
        <v>0</v>
      </c>
      <c r="U128" s="2" t="inlineStr"/>
    </row>
    <row r="129" ht="15" customHeight="1">
      <c r="A129" t="inlineStr">
        <is>
          <t>A 1666-2025</t>
        </is>
      </c>
      <c r="B129" t="inlineStr">
        <is>
          <t>avverkningsanmälan</t>
        </is>
      </c>
      <c r="C129" t="inlineStr">
        <is>
          <t>Föryngringsavverkning</t>
        </is>
      </c>
      <c r="D129" s="1" t="n">
        <v>45670</v>
      </c>
      <c r="E129" s="1" t="n">
        <v>46223</v>
      </c>
      <c r="F129" t="inlineStr">
        <is>
          <t>ÖSTERGÖTLANDS LÄN</t>
        </is>
      </c>
      <c r="G129" t="inlineStr">
        <is>
          <t>BOXHOLM</t>
        </is>
      </c>
      <c r="I129" t="n">
        <v>6.8</v>
      </c>
      <c r="J129" t="n">
        <v>0</v>
      </c>
      <c r="K129" t="n">
        <v>0</v>
      </c>
      <c r="L129" t="n">
        <v>0</v>
      </c>
      <c r="M129" t="n">
        <v>0</v>
      </c>
      <c r="N129" t="n">
        <v>0</v>
      </c>
      <c r="O129" t="n">
        <v>0</v>
      </c>
      <c r="P129" t="n">
        <v>0</v>
      </c>
      <c r="Q129" t="n">
        <v>0</v>
      </c>
      <c r="R129" t="n">
        <v>0</v>
      </c>
      <c r="S129" t="n">
        <v>0</v>
      </c>
      <c r="T129" t="n">
        <v>0</v>
      </c>
      <c r="U129" s="2" t="inlineStr"/>
    </row>
    <row r="130" ht="15" customHeight="1">
      <c r="A130" t="inlineStr">
        <is>
          <t>A 46867-2025</t>
        </is>
      </c>
      <c r="B130" t="inlineStr">
        <is>
          <t>avverkningsanmälan</t>
        </is>
      </c>
      <c r="C130" t="inlineStr">
        <is>
          <t>Föryngringsavverkning</t>
        </is>
      </c>
      <c r="D130" s="1" t="n">
        <v>45929</v>
      </c>
      <c r="E130" s="1" t="n">
        <v>46223</v>
      </c>
      <c r="F130" t="inlineStr">
        <is>
          <t>ÖSTERGÖTLANDS LÄN</t>
        </is>
      </c>
      <c r="G130" t="inlineStr">
        <is>
          <t>BOXHOLM</t>
        </is>
      </c>
      <c r="I130" t="n">
        <v>2.4</v>
      </c>
      <c r="J130" t="n">
        <v>0</v>
      </c>
      <c r="K130" t="n">
        <v>0</v>
      </c>
      <c r="L130" t="n">
        <v>0</v>
      </c>
      <c r="M130" t="n">
        <v>0</v>
      </c>
      <c r="N130" t="n">
        <v>0</v>
      </c>
      <c r="O130" t="n">
        <v>0</v>
      </c>
      <c r="P130" t="n">
        <v>0</v>
      </c>
      <c r="Q130" t="n">
        <v>0</v>
      </c>
      <c r="R130" t="n">
        <v>0</v>
      </c>
      <c r="S130" t="n">
        <v>0</v>
      </c>
      <c r="T130" t="n">
        <v>0</v>
      </c>
      <c r="U130" s="2" t="inlineStr"/>
    </row>
    <row r="131" ht="15" customHeight="1">
      <c r="A131" t="inlineStr">
        <is>
          <t>A 35440-2025</t>
        </is>
      </c>
      <c r="B131" t="inlineStr">
        <is>
          <t>avverkningsanmälan</t>
        </is>
      </c>
      <c r="C131" t="inlineStr">
        <is>
          <t>Avverkning för annat ändamål</t>
        </is>
      </c>
      <c r="D131" s="1" t="n">
        <v>45855</v>
      </c>
      <c r="E131" s="1" t="n">
        <v>46223</v>
      </c>
      <c r="F131" t="inlineStr">
        <is>
          <t>ÖSTERGÖTLANDS LÄN</t>
        </is>
      </c>
      <c r="G131" t="inlineStr">
        <is>
          <t>BOXHOLM</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46519-2025</t>
        </is>
      </c>
      <c r="B132" t="inlineStr">
        <is>
          <t>avverkningsanmälan</t>
        </is>
      </c>
      <c r="C132" t="inlineStr">
        <is>
          <t>Föryngringsavverkning</t>
        </is>
      </c>
      <c r="D132" s="1" t="n">
        <v>45924</v>
      </c>
      <c r="E132" s="1" t="n">
        <v>46223</v>
      </c>
      <c r="F132" t="inlineStr">
        <is>
          <t>ÖSTERGÖTLANDS LÄN</t>
        </is>
      </c>
      <c r="G132" t="inlineStr">
        <is>
          <t>BOXHOLM</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47446-2025</t>
        </is>
      </c>
      <c r="B133" t="inlineStr">
        <is>
          <t>avverkningsanmälan</t>
        </is>
      </c>
      <c r="C133" t="inlineStr">
        <is>
          <t>Föryngringsavverkning</t>
        </is>
      </c>
      <c r="D133" s="1" t="n">
        <v>45930</v>
      </c>
      <c r="E133" s="1" t="n">
        <v>46223</v>
      </c>
      <c r="F133" t="inlineStr">
        <is>
          <t>ÖSTERGÖTLANDS LÄN</t>
        </is>
      </c>
      <c r="G133" t="inlineStr">
        <is>
          <t>BOXHOLM</t>
        </is>
      </c>
      <c r="H133" t="inlineStr">
        <is>
          <t>Övriga Aktiebolag</t>
        </is>
      </c>
      <c r="I133" t="n">
        <v>4.1</v>
      </c>
      <c r="J133" t="n">
        <v>0</v>
      </c>
      <c r="K133" t="n">
        <v>0</v>
      </c>
      <c r="L133" t="n">
        <v>0</v>
      </c>
      <c r="M133" t="n">
        <v>0</v>
      </c>
      <c r="N133" t="n">
        <v>0</v>
      </c>
      <c r="O133" t="n">
        <v>0</v>
      </c>
      <c r="P133" t="n">
        <v>0</v>
      </c>
      <c r="Q133" t="n">
        <v>0</v>
      </c>
      <c r="R133" t="n">
        <v>0</v>
      </c>
      <c r="S133" t="n">
        <v>0</v>
      </c>
      <c r="T133" t="n">
        <v>0</v>
      </c>
      <c r="U133" s="2" t="inlineStr"/>
    </row>
    <row r="134" ht="15" customHeight="1">
      <c r="A134" t="inlineStr">
        <is>
          <t>A 35765-2025</t>
        </is>
      </c>
      <c r="B134" t="inlineStr">
        <is>
          <t>avverkningsanmälan</t>
        </is>
      </c>
      <c r="C134" t="inlineStr">
        <is>
          <t>Föryngringsavverkning</t>
        </is>
      </c>
      <c r="D134" s="1" t="n">
        <v>45860</v>
      </c>
      <c r="E134" s="1" t="n">
        <v>46223</v>
      </c>
      <c r="F134" t="inlineStr">
        <is>
          <t>ÖSTERGÖTLANDS LÄN</t>
        </is>
      </c>
      <c r="G134" t="inlineStr">
        <is>
          <t>BOXHOLM</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25431-2023</t>
        </is>
      </c>
      <c r="B135" t="inlineStr">
        <is>
          <t>avverkningsanmälan</t>
        </is>
      </c>
      <c r="C135" t="inlineStr">
        <is>
          <t>Föryngringsavverkning</t>
        </is>
      </c>
      <c r="D135" s="1" t="n">
        <v>45089</v>
      </c>
      <c r="E135" s="1" t="n">
        <v>46223</v>
      </c>
      <c r="F135" t="inlineStr">
        <is>
          <t>ÖSTERGÖTLANDS LÄN</t>
        </is>
      </c>
      <c r="G135" t="inlineStr">
        <is>
          <t>BOXHOLM</t>
        </is>
      </c>
      <c r="I135" t="n">
        <v>2.8</v>
      </c>
      <c r="J135" t="n">
        <v>0</v>
      </c>
      <c r="K135" t="n">
        <v>0</v>
      </c>
      <c r="L135" t="n">
        <v>0</v>
      </c>
      <c r="M135" t="n">
        <v>0</v>
      </c>
      <c r="N135" t="n">
        <v>0</v>
      </c>
      <c r="O135" t="n">
        <v>0</v>
      </c>
      <c r="P135" t="n">
        <v>0</v>
      </c>
      <c r="Q135" t="n">
        <v>0</v>
      </c>
      <c r="R135" t="n">
        <v>0</v>
      </c>
      <c r="S135" t="n">
        <v>0</v>
      </c>
      <c r="T135" t="n">
        <v>0</v>
      </c>
      <c r="U135" s="2" t="inlineStr"/>
    </row>
    <row r="136" ht="15" customHeight="1">
      <c r="A136" t="inlineStr">
        <is>
          <t>A 15476-2023</t>
        </is>
      </c>
      <c r="B136" t="inlineStr">
        <is>
          <t>avverkningsanmälan</t>
        </is>
      </c>
      <c r="C136" t="inlineStr">
        <is>
          <t>Föryngringsavverkning</t>
        </is>
      </c>
      <c r="D136" s="1" t="n">
        <v>45020</v>
      </c>
      <c r="E136" s="1" t="n">
        <v>46223</v>
      </c>
      <c r="F136" t="inlineStr">
        <is>
          <t>ÖSTERGÖTLANDS LÄN</t>
        </is>
      </c>
      <c r="G136" t="inlineStr">
        <is>
          <t>BOXHOLM</t>
        </is>
      </c>
      <c r="I136" t="n">
        <v>0</v>
      </c>
      <c r="J136" t="n">
        <v>0</v>
      </c>
      <c r="K136" t="n">
        <v>0</v>
      </c>
      <c r="L136" t="n">
        <v>0</v>
      </c>
      <c r="M136" t="n">
        <v>0</v>
      </c>
      <c r="N136" t="n">
        <v>0</v>
      </c>
      <c r="O136" t="n">
        <v>0</v>
      </c>
      <c r="P136" t="n">
        <v>0</v>
      </c>
      <c r="Q136" t="n">
        <v>0</v>
      </c>
      <c r="R136" t="n">
        <v>0</v>
      </c>
      <c r="S136" t="n">
        <v>0</v>
      </c>
      <c r="T136" t="n">
        <v>0</v>
      </c>
      <c r="U136" s="2" t="inlineStr"/>
    </row>
    <row r="137" ht="15" customHeight="1">
      <c r="A137" t="inlineStr">
        <is>
          <t>A 15502-2023</t>
        </is>
      </c>
      <c r="B137" t="inlineStr">
        <is>
          <t>avverkningsanmälan</t>
        </is>
      </c>
      <c r="C137" t="inlineStr">
        <is>
          <t>Föryngringsavverkning</t>
        </is>
      </c>
      <c r="D137" s="1" t="n">
        <v>45020</v>
      </c>
      <c r="E137" s="1" t="n">
        <v>46223</v>
      </c>
      <c r="F137" t="inlineStr">
        <is>
          <t>ÖSTERGÖTLANDS LÄN</t>
        </is>
      </c>
      <c r="G137" t="inlineStr">
        <is>
          <t>BOXHOLM</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36202-2025</t>
        </is>
      </c>
      <c r="B138" t="inlineStr">
        <is>
          <t>avverkningsanmälan</t>
        </is>
      </c>
      <c r="C138" t="inlineStr">
        <is>
          <t>Avverkning för att bevara och utveckla /försöksver</t>
        </is>
      </c>
      <c r="D138" s="1" t="n">
        <v>45867</v>
      </c>
      <c r="E138" s="1" t="n">
        <v>46223</v>
      </c>
      <c r="F138" t="inlineStr">
        <is>
          <t>ÖSTERGÖTLANDS LÄN</t>
        </is>
      </c>
      <c r="G138" t="inlineStr">
        <is>
          <t>BOXHOLM</t>
        </is>
      </c>
      <c r="H138" t="inlineStr">
        <is>
          <t>Övriga Aktiebolag</t>
        </is>
      </c>
      <c r="I138" t="n">
        <v>2.7</v>
      </c>
      <c r="J138" t="n">
        <v>0</v>
      </c>
      <c r="K138" t="n">
        <v>0</v>
      </c>
      <c r="L138" t="n">
        <v>0</v>
      </c>
      <c r="M138" t="n">
        <v>0</v>
      </c>
      <c r="N138" t="n">
        <v>0</v>
      </c>
      <c r="O138" t="n">
        <v>0</v>
      </c>
      <c r="P138" t="n">
        <v>0</v>
      </c>
      <c r="Q138" t="n">
        <v>0</v>
      </c>
      <c r="R138" t="n">
        <v>0</v>
      </c>
      <c r="S138" t="n">
        <v>0</v>
      </c>
      <c r="T138" t="n">
        <v>0</v>
      </c>
      <c r="U138" s="2" t="inlineStr"/>
    </row>
    <row r="139" ht="15" customHeight="1">
      <c r="A139" t="inlineStr">
        <is>
          <t>A 36177-2025</t>
        </is>
      </c>
      <c r="B139" t="inlineStr">
        <is>
          <t>avverkningsanmälan</t>
        </is>
      </c>
      <c r="C139" t="inlineStr">
        <is>
          <t>Avverkning för att bevara och utveckla /försöksver</t>
        </is>
      </c>
      <c r="D139" s="1" t="n">
        <v>45867</v>
      </c>
      <c r="E139" s="1" t="n">
        <v>46223</v>
      </c>
      <c r="F139" t="inlineStr">
        <is>
          <t>ÖSTERGÖTLANDS LÄN</t>
        </is>
      </c>
      <c r="G139" t="inlineStr">
        <is>
          <t>BOXHOLM</t>
        </is>
      </c>
      <c r="H139" t="inlineStr">
        <is>
          <t>Övriga Aktiebolag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36175-2025</t>
        </is>
      </c>
      <c r="B140" t="inlineStr">
        <is>
          <t>avverkningsanmälan</t>
        </is>
      </c>
      <c r="C140" t="inlineStr">
        <is>
          <t>Föryngringsavverkning</t>
        </is>
      </c>
      <c r="D140" s="1" t="n">
        <v>45867</v>
      </c>
      <c r="E140" s="1" t="n">
        <v>46223</v>
      </c>
      <c r="F140" t="inlineStr">
        <is>
          <t>ÖSTERGÖTLANDS LÄN</t>
        </is>
      </c>
      <c r="G140" t="inlineStr">
        <is>
          <t>BOXHOLM</t>
        </is>
      </c>
      <c r="H140" t="inlineStr">
        <is>
          <t>Övriga Aktiebolag</t>
        </is>
      </c>
      <c r="I140" t="n">
        <v>0.9</v>
      </c>
      <c r="J140" t="n">
        <v>0</v>
      </c>
      <c r="K140" t="n">
        <v>0</v>
      </c>
      <c r="L140" t="n">
        <v>0</v>
      </c>
      <c r="M140" t="n">
        <v>0</v>
      </c>
      <c r="N140" t="n">
        <v>0</v>
      </c>
      <c r="O140" t="n">
        <v>0</v>
      </c>
      <c r="P140" t="n">
        <v>0</v>
      </c>
      <c r="Q140" t="n">
        <v>0</v>
      </c>
      <c r="R140" t="n">
        <v>0</v>
      </c>
      <c r="S140" t="n">
        <v>0</v>
      </c>
      <c r="T140" t="n">
        <v>0</v>
      </c>
      <c r="U140" s="2" t="inlineStr"/>
    </row>
    <row r="141" ht="15" customHeight="1">
      <c r="A141" t="inlineStr">
        <is>
          <t>A 61066-2021</t>
        </is>
      </c>
      <c r="B141" t="inlineStr">
        <is>
          <t>avverkningsanmälan</t>
        </is>
      </c>
      <c r="C141" t="inlineStr">
        <is>
          <t>Föryngringsavverkning</t>
        </is>
      </c>
      <c r="D141" s="1" t="n">
        <v>44497</v>
      </c>
      <c r="E141" s="1" t="n">
        <v>46223</v>
      </c>
      <c r="F141" t="inlineStr">
        <is>
          <t>ÖSTERGÖTLANDS LÄN</t>
        </is>
      </c>
      <c r="G141" t="inlineStr">
        <is>
          <t>BOXHOLM</t>
        </is>
      </c>
      <c r="I141" t="n">
        <v>6.9</v>
      </c>
      <c r="J141" t="n">
        <v>0</v>
      </c>
      <c r="K141" t="n">
        <v>0</v>
      </c>
      <c r="L141" t="n">
        <v>0</v>
      </c>
      <c r="M141" t="n">
        <v>0</v>
      </c>
      <c r="N141" t="n">
        <v>0</v>
      </c>
      <c r="O141" t="n">
        <v>0</v>
      </c>
      <c r="P141" t="n">
        <v>0</v>
      </c>
      <c r="Q141" t="n">
        <v>0</v>
      </c>
      <c r="R141" t="n">
        <v>0</v>
      </c>
      <c r="S141" t="n">
        <v>0</v>
      </c>
      <c r="T141" t="n">
        <v>0</v>
      </c>
      <c r="U141" s="2" t="inlineStr"/>
    </row>
    <row r="142" ht="15" customHeight="1">
      <c r="A142" t="inlineStr">
        <is>
          <t>A 36433-2025</t>
        </is>
      </c>
      <c r="B142" t="inlineStr">
        <is>
          <t>avverkningsanmälan</t>
        </is>
      </c>
      <c r="C142" t="inlineStr">
        <is>
          <t>Avverkning för att bevara och utveckla /försöksver</t>
        </is>
      </c>
      <c r="D142" s="1" t="n">
        <v>45869</v>
      </c>
      <c r="E142" s="1" t="n">
        <v>46223</v>
      </c>
      <c r="F142" t="inlineStr">
        <is>
          <t>ÖSTERGÖTLANDS LÄN</t>
        </is>
      </c>
      <c r="G142" t="inlineStr">
        <is>
          <t>BOXHOLM</t>
        </is>
      </c>
      <c r="H142" t="inlineStr">
        <is>
          <t>Övriga Aktiebolag</t>
        </is>
      </c>
      <c r="I142" t="n">
        <v>2.5</v>
      </c>
      <c r="J142" t="n">
        <v>0</v>
      </c>
      <c r="K142" t="n">
        <v>0</v>
      </c>
      <c r="L142" t="n">
        <v>0</v>
      </c>
      <c r="M142" t="n">
        <v>0</v>
      </c>
      <c r="N142" t="n">
        <v>0</v>
      </c>
      <c r="O142" t="n">
        <v>0</v>
      </c>
      <c r="P142" t="n">
        <v>0</v>
      </c>
      <c r="Q142" t="n">
        <v>0</v>
      </c>
      <c r="R142" t="n">
        <v>0</v>
      </c>
      <c r="S142" t="n">
        <v>0</v>
      </c>
      <c r="T142" t="n">
        <v>0</v>
      </c>
      <c r="U142" s="2" t="inlineStr"/>
    </row>
    <row r="143" ht="15" customHeight="1">
      <c r="A143" t="inlineStr">
        <is>
          <t>A 35091-2023</t>
        </is>
      </c>
      <c r="B143" t="inlineStr">
        <is>
          <t>avverkningsanmälan</t>
        </is>
      </c>
      <c r="C143" t="inlineStr">
        <is>
          <t>Föryngringsavverkning</t>
        </is>
      </c>
      <c r="D143" s="1" t="n">
        <v>45145</v>
      </c>
      <c r="E143" s="1" t="n">
        <v>46223</v>
      </c>
      <c r="F143" t="inlineStr">
        <is>
          <t>ÖSTERGÖTLANDS LÄN</t>
        </is>
      </c>
      <c r="G143" t="inlineStr">
        <is>
          <t>BOXHOLM</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25279-2024</t>
        </is>
      </c>
      <c r="B144" t="inlineStr">
        <is>
          <t>avverkningsanmälan</t>
        </is>
      </c>
      <c r="C144" t="inlineStr">
        <is>
          <t>Avverkning för att bevara och utveckla /försöksver</t>
        </is>
      </c>
      <c r="D144" s="1" t="n">
        <v>45462</v>
      </c>
      <c r="E144" s="1" t="n">
        <v>46223</v>
      </c>
      <c r="F144" t="inlineStr">
        <is>
          <t>ÖSTERGÖTLANDS LÄN</t>
        </is>
      </c>
      <c r="G144" t="inlineStr">
        <is>
          <t>BOXHOLM</t>
        </is>
      </c>
      <c r="H144" t="inlineStr">
        <is>
          <t>Övriga Aktiebolag</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50164-2025</t>
        </is>
      </c>
      <c r="B145" t="inlineStr">
        <is>
          <t>avverkningsanmälan</t>
        </is>
      </c>
      <c r="C145" t="inlineStr">
        <is>
          <t>Föryngringsavverkning</t>
        </is>
      </c>
      <c r="D145" s="1" t="n">
        <v>45943</v>
      </c>
      <c r="E145" s="1" t="n">
        <v>46223</v>
      </c>
      <c r="F145" t="inlineStr">
        <is>
          <t>ÖSTERGÖTLANDS LÄN</t>
        </is>
      </c>
      <c r="G145" t="inlineStr">
        <is>
          <t>BOXHOLM</t>
        </is>
      </c>
      <c r="H145" t="inlineStr">
        <is>
          <t>Övriga Aktiebolag</t>
        </is>
      </c>
      <c r="I145" t="n">
        <v>2.7</v>
      </c>
      <c r="J145" t="n">
        <v>0</v>
      </c>
      <c r="K145" t="n">
        <v>0</v>
      </c>
      <c r="L145" t="n">
        <v>0</v>
      </c>
      <c r="M145" t="n">
        <v>0</v>
      </c>
      <c r="N145" t="n">
        <v>0</v>
      </c>
      <c r="O145" t="n">
        <v>0</v>
      </c>
      <c r="P145" t="n">
        <v>0</v>
      </c>
      <c r="Q145" t="n">
        <v>0</v>
      </c>
      <c r="R145" t="n">
        <v>0</v>
      </c>
      <c r="S145" t="n">
        <v>0</v>
      </c>
      <c r="T145" t="n">
        <v>0</v>
      </c>
      <c r="U145" s="2" t="inlineStr"/>
    </row>
    <row r="146" ht="15" customHeight="1">
      <c r="A146" t="inlineStr">
        <is>
          <t>A 50095-2025</t>
        </is>
      </c>
      <c r="B146" t="inlineStr">
        <is>
          <t>avverkningsanmälan</t>
        </is>
      </c>
      <c r="C146" t="inlineStr">
        <is>
          <t>Föryngringsavverkning</t>
        </is>
      </c>
      <c r="D146" s="1" t="n">
        <v>45943</v>
      </c>
      <c r="E146" s="1" t="n">
        <v>46223</v>
      </c>
      <c r="F146" t="inlineStr">
        <is>
          <t>ÖSTERGÖTLANDS LÄN</t>
        </is>
      </c>
      <c r="G146" t="inlineStr">
        <is>
          <t>BOXHOLM</t>
        </is>
      </c>
      <c r="H146" t="inlineStr">
        <is>
          <t>Övriga Aktiebolag</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50019-2025</t>
        </is>
      </c>
      <c r="B147" t="inlineStr">
        <is>
          <t>avverkningsanmälan</t>
        </is>
      </c>
      <c r="C147" t="inlineStr">
        <is>
          <t>Föryngringsavverkning</t>
        </is>
      </c>
      <c r="D147" s="1" t="n">
        <v>45943</v>
      </c>
      <c r="E147" s="1" t="n">
        <v>46223</v>
      </c>
      <c r="F147" t="inlineStr">
        <is>
          <t>ÖSTERGÖTLANDS LÄN</t>
        </is>
      </c>
      <c r="G147" t="inlineStr">
        <is>
          <t>BOXHOLM</t>
        </is>
      </c>
      <c r="H147" t="inlineStr">
        <is>
          <t>Övriga Aktiebolag</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35763-2025</t>
        </is>
      </c>
      <c r="B148" t="inlineStr">
        <is>
          <t>avverkningsanmälan</t>
        </is>
      </c>
      <c r="C148" t="inlineStr">
        <is>
          <t>Föryngringsavverkning</t>
        </is>
      </c>
      <c r="D148" s="1" t="n">
        <v>45860</v>
      </c>
      <c r="E148" s="1" t="n">
        <v>46223</v>
      </c>
      <c r="F148" t="inlineStr">
        <is>
          <t>ÖSTERGÖTLANDS LÄN</t>
        </is>
      </c>
      <c r="G148" t="inlineStr">
        <is>
          <t>BOXHOLM</t>
        </is>
      </c>
      <c r="I148" t="n">
        <v>3.2</v>
      </c>
      <c r="J148" t="n">
        <v>0</v>
      </c>
      <c r="K148" t="n">
        <v>0</v>
      </c>
      <c r="L148" t="n">
        <v>0</v>
      </c>
      <c r="M148" t="n">
        <v>0</v>
      </c>
      <c r="N148" t="n">
        <v>0</v>
      </c>
      <c r="O148" t="n">
        <v>0</v>
      </c>
      <c r="P148" t="n">
        <v>0</v>
      </c>
      <c r="Q148" t="n">
        <v>0</v>
      </c>
      <c r="R148" t="n">
        <v>0</v>
      </c>
      <c r="S148" t="n">
        <v>0</v>
      </c>
      <c r="T148" t="n">
        <v>0</v>
      </c>
      <c r="U148" s="2" t="inlineStr"/>
    </row>
    <row r="149" ht="15" customHeight="1">
      <c r="A149" t="inlineStr">
        <is>
          <t>A 50082-2025</t>
        </is>
      </c>
      <c r="B149" t="inlineStr">
        <is>
          <t>avverkningsanmälan</t>
        </is>
      </c>
      <c r="C149" t="inlineStr">
        <is>
          <t>Avverkning för att bevara och utveckla /försöksver</t>
        </is>
      </c>
      <c r="D149" s="1" t="n">
        <v>45943</v>
      </c>
      <c r="E149" s="1" t="n">
        <v>46223</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35762-2025</t>
        </is>
      </c>
      <c r="B150" t="inlineStr">
        <is>
          <t>avverkningsanmälan</t>
        </is>
      </c>
      <c r="C150" t="inlineStr">
        <is>
          <t>Föryngringsavverkning</t>
        </is>
      </c>
      <c r="D150" s="1" t="n">
        <v>45860</v>
      </c>
      <c r="E150" s="1" t="n">
        <v>46223</v>
      </c>
      <c r="F150" t="inlineStr">
        <is>
          <t>ÖSTERGÖTLANDS LÄN</t>
        </is>
      </c>
      <c r="G150" t="inlineStr">
        <is>
          <t>BOXHOLM</t>
        </is>
      </c>
      <c r="I150" t="n">
        <v>4.5</v>
      </c>
      <c r="J150" t="n">
        <v>0</v>
      </c>
      <c r="K150" t="n">
        <v>0</v>
      </c>
      <c r="L150" t="n">
        <v>0</v>
      </c>
      <c r="M150" t="n">
        <v>0</v>
      </c>
      <c r="N150" t="n">
        <v>0</v>
      </c>
      <c r="O150" t="n">
        <v>0</v>
      </c>
      <c r="P150" t="n">
        <v>0</v>
      </c>
      <c r="Q150" t="n">
        <v>0</v>
      </c>
      <c r="R150" t="n">
        <v>0</v>
      </c>
      <c r="S150" t="n">
        <v>0</v>
      </c>
      <c r="T150" t="n">
        <v>0</v>
      </c>
      <c r="U150" s="2" t="inlineStr"/>
    </row>
    <row r="151" ht="15" customHeight="1">
      <c r="A151" t="inlineStr">
        <is>
          <t>A 35764-2025</t>
        </is>
      </c>
      <c r="B151" t="inlineStr">
        <is>
          <t>avverkningsanmälan</t>
        </is>
      </c>
      <c r="C151" t="inlineStr">
        <is>
          <t>Föryngringsavverkning</t>
        </is>
      </c>
      <c r="D151" s="1" t="n">
        <v>45860</v>
      </c>
      <c r="E151" s="1" t="n">
        <v>46223</v>
      </c>
      <c r="F151" t="inlineStr">
        <is>
          <t>ÖSTERGÖTLANDS LÄN</t>
        </is>
      </c>
      <c r="G151" t="inlineStr">
        <is>
          <t>BOXHOLM</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50612-2025</t>
        </is>
      </c>
      <c r="B152" t="inlineStr">
        <is>
          <t>avverkningsanmälan</t>
        </is>
      </c>
      <c r="C152" t="inlineStr">
        <is>
          <t>Föryngringsavverkning</t>
        </is>
      </c>
      <c r="D152" s="1" t="n">
        <v>45945</v>
      </c>
      <c r="E152" s="1" t="n">
        <v>46223</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39029-2023</t>
        </is>
      </c>
      <c r="B153" t="inlineStr">
        <is>
          <t>avverkningsanmälan</t>
        </is>
      </c>
      <c r="C153" t="inlineStr">
        <is>
          <t>Föryngringsavverkning</t>
        </is>
      </c>
      <c r="D153" s="1" t="n">
        <v>45163</v>
      </c>
      <c r="E153" s="1" t="n">
        <v>46223</v>
      </c>
      <c r="F153" t="inlineStr">
        <is>
          <t>ÖSTERGÖTLANDS LÄN</t>
        </is>
      </c>
      <c r="G153" t="inlineStr">
        <is>
          <t>BOXHOLM</t>
        </is>
      </c>
      <c r="H153" t="inlineStr">
        <is>
          <t>Allmännings- och besparingsskogar</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51091-2025</t>
        </is>
      </c>
      <c r="B154" t="inlineStr">
        <is>
          <t>avverkningsanmälan</t>
        </is>
      </c>
      <c r="C154" t="inlineStr">
        <is>
          <t>Föryngringsavverkning</t>
        </is>
      </c>
      <c r="D154" s="1" t="n">
        <v>45947</v>
      </c>
      <c r="E154" s="1" t="n">
        <v>46223</v>
      </c>
      <c r="F154" t="inlineStr">
        <is>
          <t>ÖSTERGÖTLANDS LÄN</t>
        </is>
      </c>
      <c r="G154" t="inlineStr">
        <is>
          <t>BOXHOLM</t>
        </is>
      </c>
      <c r="H154" t="inlineStr">
        <is>
          <t>Övriga Aktiebolag</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39031-2023</t>
        </is>
      </c>
      <c r="B155" t="inlineStr">
        <is>
          <t>avverkningsanmälan</t>
        </is>
      </c>
      <c r="C155" t="inlineStr">
        <is>
          <t>Föryngringsavverkning</t>
        </is>
      </c>
      <c r="D155" s="1" t="n">
        <v>45163</v>
      </c>
      <c r="E155" s="1" t="n">
        <v>46223</v>
      </c>
      <c r="F155" t="inlineStr">
        <is>
          <t>ÖSTERGÖTLANDS LÄN</t>
        </is>
      </c>
      <c r="G155" t="inlineStr">
        <is>
          <t>BOXHOLM</t>
        </is>
      </c>
      <c r="H155" t="inlineStr">
        <is>
          <t>Allmännings- och besparingsskogar</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10250-2023</t>
        </is>
      </c>
      <c r="B156" t="inlineStr">
        <is>
          <t>avverkningsanmälan</t>
        </is>
      </c>
      <c r="C156" t="inlineStr">
        <is>
          <t>Föryngringsavverkning</t>
        </is>
      </c>
      <c r="D156" s="1" t="n">
        <v>44980</v>
      </c>
      <c r="E156" s="1" t="n">
        <v>46223</v>
      </c>
      <c r="F156" t="inlineStr">
        <is>
          <t>ÖSTERGÖTLANDS LÄN</t>
        </is>
      </c>
      <c r="G156" t="inlineStr">
        <is>
          <t>BOXHOLM</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52514-2025</t>
        </is>
      </c>
      <c r="B157" t="inlineStr">
        <is>
          <t>avverkningsanmälan</t>
        </is>
      </c>
      <c r="C157" t="inlineStr">
        <is>
          <t>Föryngringsavverkning</t>
        </is>
      </c>
      <c r="D157" s="1" t="n">
        <v>45954</v>
      </c>
      <c r="E157" s="1" t="n">
        <v>46223</v>
      </c>
      <c r="F157" t="inlineStr">
        <is>
          <t>ÖSTERGÖTLANDS LÄN</t>
        </is>
      </c>
      <c r="G157" t="inlineStr">
        <is>
          <t>BOXHOLM</t>
        </is>
      </c>
      <c r="H157" t="inlineStr">
        <is>
          <t>Övriga Aktiebolag</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52551-2025</t>
        </is>
      </c>
      <c r="B158" t="inlineStr">
        <is>
          <t>avverkningsanmälan</t>
        </is>
      </c>
      <c r="C158" t="inlineStr">
        <is>
          <t>Avverkning för att bevara och utveckla /försöksver</t>
        </is>
      </c>
      <c r="D158" s="1" t="n">
        <v>45954</v>
      </c>
      <c r="E158" s="1" t="n">
        <v>46223</v>
      </c>
      <c r="F158" t="inlineStr">
        <is>
          <t>ÖSTERGÖTLANDS LÄN</t>
        </is>
      </c>
      <c r="G158" t="inlineStr">
        <is>
          <t>BOXHOLM</t>
        </is>
      </c>
      <c r="H158" t="inlineStr">
        <is>
          <t>Övriga Aktiebolag</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22853-2023</t>
        </is>
      </c>
      <c r="B159" t="inlineStr">
        <is>
          <t>avverkningsanmälan</t>
        </is>
      </c>
      <c r="C159" t="inlineStr">
        <is>
          <t>Föryngringsavverkning</t>
        </is>
      </c>
      <c r="D159" s="1" t="n">
        <v>45072</v>
      </c>
      <c r="E159" s="1" t="n">
        <v>46223</v>
      </c>
      <c r="F159" t="inlineStr">
        <is>
          <t>ÖSTERGÖTLANDS LÄN</t>
        </is>
      </c>
      <c r="G159" t="inlineStr">
        <is>
          <t>BOXHOLM</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8948-2026</t>
        </is>
      </c>
      <c r="B160" t="inlineStr">
        <is>
          <t>avverkningsanmälan</t>
        </is>
      </c>
      <c r="C160" t="inlineStr">
        <is>
          <t>Föryngringsavverkning</t>
        </is>
      </c>
      <c r="D160" s="1" t="n">
        <v>46069</v>
      </c>
      <c r="E160" s="1" t="n">
        <v>46223</v>
      </c>
      <c r="F160" t="inlineStr">
        <is>
          <t>ÖSTERGÖTLANDS LÄN</t>
        </is>
      </c>
      <c r="G160" t="inlineStr">
        <is>
          <t>BOXHOLM</t>
        </is>
      </c>
      <c r="H160" t="inlineStr">
        <is>
          <t>Övriga Aktiebolag</t>
        </is>
      </c>
      <c r="I160" t="n">
        <v>3.6</v>
      </c>
      <c r="J160" t="n">
        <v>0</v>
      </c>
      <c r="K160" t="n">
        <v>0</v>
      </c>
      <c r="L160" t="n">
        <v>0</v>
      </c>
      <c r="M160" t="n">
        <v>0</v>
      </c>
      <c r="N160" t="n">
        <v>0</v>
      </c>
      <c r="O160" t="n">
        <v>0</v>
      </c>
      <c r="P160" t="n">
        <v>0</v>
      </c>
      <c r="Q160" t="n">
        <v>0</v>
      </c>
      <c r="R160" t="n">
        <v>0</v>
      </c>
      <c r="S160" t="n">
        <v>0</v>
      </c>
      <c r="T160" t="n">
        <v>0</v>
      </c>
      <c r="U160" s="2" t="inlineStr"/>
    </row>
    <row r="161" ht="15" customHeight="1">
      <c r="A161" t="inlineStr">
        <is>
          <t>A 37474-2025</t>
        </is>
      </c>
      <c r="B161" t="inlineStr">
        <is>
          <t>avverkningsanmälan</t>
        </is>
      </c>
      <c r="C161" t="inlineStr">
        <is>
          <t>Föryngringsavverkning</t>
        </is>
      </c>
      <c r="D161" s="1" t="n">
        <v>45877</v>
      </c>
      <c r="E161" s="1" t="n">
        <v>46223</v>
      </c>
      <c r="F161" t="inlineStr">
        <is>
          <t>ÖSTERGÖTLANDS LÄN</t>
        </is>
      </c>
      <c r="G161" t="inlineStr">
        <is>
          <t>BOXHOLM</t>
        </is>
      </c>
      <c r="H161" t="inlineStr">
        <is>
          <t>Övriga Aktiebolag</t>
        </is>
      </c>
      <c r="I161" t="n">
        <v>3.1</v>
      </c>
      <c r="J161" t="n">
        <v>0</v>
      </c>
      <c r="K161" t="n">
        <v>0</v>
      </c>
      <c r="L161" t="n">
        <v>0</v>
      </c>
      <c r="M161" t="n">
        <v>0</v>
      </c>
      <c r="N161" t="n">
        <v>0</v>
      </c>
      <c r="O161" t="n">
        <v>0</v>
      </c>
      <c r="P161" t="n">
        <v>0</v>
      </c>
      <c r="Q161" t="n">
        <v>0</v>
      </c>
      <c r="R161" t="n">
        <v>0</v>
      </c>
      <c r="S161" t="n">
        <v>0</v>
      </c>
      <c r="T161" t="n">
        <v>0</v>
      </c>
      <c r="U161" s="2" t="inlineStr"/>
    </row>
    <row r="162" ht="15" customHeight="1">
      <c r="A162" t="inlineStr">
        <is>
          <t>A 16146-2023</t>
        </is>
      </c>
      <c r="B162" t="inlineStr">
        <is>
          <t>avverkningsanmälan</t>
        </is>
      </c>
      <c r="C162" t="inlineStr">
        <is>
          <t>Föryngringsavverkning</t>
        </is>
      </c>
      <c r="D162" s="1" t="n">
        <v>45027</v>
      </c>
      <c r="E162" s="1" t="n">
        <v>46223</v>
      </c>
      <c r="F162" t="inlineStr">
        <is>
          <t>ÖSTERGÖTLANDS LÄN</t>
        </is>
      </c>
      <c r="G162" t="inlineStr">
        <is>
          <t>BOXHOLM</t>
        </is>
      </c>
      <c r="H162" t="inlineStr">
        <is>
          <t>Allmännings- och besparingsskogar</t>
        </is>
      </c>
      <c r="I162" t="n">
        <v>2.9</v>
      </c>
      <c r="J162" t="n">
        <v>0</v>
      </c>
      <c r="K162" t="n">
        <v>0</v>
      </c>
      <c r="L162" t="n">
        <v>0</v>
      </c>
      <c r="M162" t="n">
        <v>0</v>
      </c>
      <c r="N162" t="n">
        <v>0</v>
      </c>
      <c r="O162" t="n">
        <v>0</v>
      </c>
      <c r="P162" t="n">
        <v>0</v>
      </c>
      <c r="Q162" t="n">
        <v>0</v>
      </c>
      <c r="R162" t="n">
        <v>0</v>
      </c>
      <c r="S162" t="n">
        <v>0</v>
      </c>
      <c r="T162" t="n">
        <v>0</v>
      </c>
      <c r="U162" s="2" t="inlineStr"/>
    </row>
    <row r="163" ht="15" customHeight="1">
      <c r="A163" t="inlineStr">
        <is>
          <t>A 37477-2025</t>
        </is>
      </c>
      <c r="B163" t="inlineStr">
        <is>
          <t>avverkningsanmälan</t>
        </is>
      </c>
      <c r="C163" t="inlineStr">
        <is>
          <t>Avverkning för att bevara och utveckla /försöksver</t>
        </is>
      </c>
      <c r="D163" s="1" t="n">
        <v>45877</v>
      </c>
      <c r="E163" s="1" t="n">
        <v>46223</v>
      </c>
      <c r="F163" t="inlineStr">
        <is>
          <t>ÖSTERGÖTLANDS LÄN</t>
        </is>
      </c>
      <c r="G163" t="inlineStr">
        <is>
          <t>BOXHOLM</t>
        </is>
      </c>
      <c r="H163" t="inlineStr">
        <is>
          <t>Övriga Aktiebolag</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37551-2025</t>
        </is>
      </c>
      <c r="B164" t="inlineStr">
        <is>
          <t>avverkningsanmälan</t>
        </is>
      </c>
      <c r="C164" t="inlineStr">
        <is>
          <t>Föryngringsavverkning</t>
        </is>
      </c>
      <c r="D164" s="1" t="n">
        <v>45880</v>
      </c>
      <c r="E164" s="1" t="n">
        <v>46223</v>
      </c>
      <c r="F164" t="inlineStr">
        <is>
          <t>ÖSTERGÖTLANDS LÄN</t>
        </is>
      </c>
      <c r="G164" t="inlineStr">
        <is>
          <t>BOXHOLM</t>
        </is>
      </c>
      <c r="H164" t="inlineStr">
        <is>
          <t>Övriga Aktiebolag</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15500-2023</t>
        </is>
      </c>
      <c r="B165" t="inlineStr">
        <is>
          <t>avverkningsanmälan</t>
        </is>
      </c>
      <c r="C165" t="inlineStr">
        <is>
          <t>Föryngringsavverkning</t>
        </is>
      </c>
      <c r="D165" s="1" t="n">
        <v>45020</v>
      </c>
      <c r="E165" s="1" t="n">
        <v>46223</v>
      </c>
      <c r="F165" t="inlineStr">
        <is>
          <t>ÖSTERGÖTLANDS LÄN</t>
        </is>
      </c>
      <c r="G165" t="inlineStr">
        <is>
          <t>BOXHOLM</t>
        </is>
      </c>
      <c r="I165" t="n">
        <v>0</v>
      </c>
      <c r="J165" t="n">
        <v>0</v>
      </c>
      <c r="K165" t="n">
        <v>0</v>
      </c>
      <c r="L165" t="n">
        <v>0</v>
      </c>
      <c r="M165" t="n">
        <v>0</v>
      </c>
      <c r="N165" t="n">
        <v>0</v>
      </c>
      <c r="O165" t="n">
        <v>0</v>
      </c>
      <c r="P165" t="n">
        <v>0</v>
      </c>
      <c r="Q165" t="n">
        <v>0</v>
      </c>
      <c r="R165" t="n">
        <v>0</v>
      </c>
      <c r="S165" t="n">
        <v>0</v>
      </c>
      <c r="T165" t="n">
        <v>0</v>
      </c>
      <c r="U165" s="2" t="inlineStr"/>
    </row>
    <row r="166" ht="15" customHeight="1">
      <c r="A166" t="inlineStr">
        <is>
          <t>A 9422-2026</t>
        </is>
      </c>
      <c r="B166" t="inlineStr">
        <is>
          <t>avverkningsanmälan</t>
        </is>
      </c>
      <c r="C166" t="inlineStr">
        <is>
          <t>Föryngringsavverkning</t>
        </is>
      </c>
      <c r="D166" s="1" t="n">
        <v>46071</v>
      </c>
      <c r="E166" s="1" t="n">
        <v>46223</v>
      </c>
      <c r="F166" t="inlineStr">
        <is>
          <t>ÖSTERGÖTLANDS LÄN</t>
        </is>
      </c>
      <c r="G166" t="inlineStr">
        <is>
          <t>BOXHOLM</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54540-2025</t>
        </is>
      </c>
      <c r="B167" t="inlineStr">
        <is>
          <t>avverkningsanmälan</t>
        </is>
      </c>
      <c r="C167" t="inlineStr">
        <is>
          <t>Föryngringsavverkning</t>
        </is>
      </c>
      <c r="D167" s="1" t="n">
        <v>45965</v>
      </c>
      <c r="E167" s="1" t="n">
        <v>46223</v>
      </c>
      <c r="F167" t="inlineStr">
        <is>
          <t>ÖSTERGÖTLANDS LÄN</t>
        </is>
      </c>
      <c r="G167" t="inlineStr">
        <is>
          <t>BOXHOLM</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54465-2025</t>
        </is>
      </c>
      <c r="B168" t="inlineStr">
        <is>
          <t>avverkningsanmälan</t>
        </is>
      </c>
      <c r="C168" t="inlineStr">
        <is>
          <t>Föryngringsavverkning</t>
        </is>
      </c>
      <c r="D168" s="1" t="n">
        <v>45965</v>
      </c>
      <c r="E168" s="1" t="n">
        <v>46223</v>
      </c>
      <c r="F168" t="inlineStr">
        <is>
          <t>ÖSTERGÖTLANDS LÄN</t>
        </is>
      </c>
      <c r="G168" t="inlineStr">
        <is>
          <t>BOXHOLM</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54521-2025</t>
        </is>
      </c>
      <c r="B169" t="inlineStr">
        <is>
          <t>avverkningsanmälan</t>
        </is>
      </c>
      <c r="C169" t="inlineStr">
        <is>
          <t>Föryngringsavverkning</t>
        </is>
      </c>
      <c r="D169" s="1" t="n">
        <v>45965</v>
      </c>
      <c r="E169" s="1" t="n">
        <v>46223</v>
      </c>
      <c r="F169" t="inlineStr">
        <is>
          <t>ÖSTERGÖTLANDS LÄN</t>
        </is>
      </c>
      <c r="G169" t="inlineStr">
        <is>
          <t>BOXHOLM</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54530-2025</t>
        </is>
      </c>
      <c r="B170" t="inlineStr">
        <is>
          <t>avverkningsanmälan</t>
        </is>
      </c>
      <c r="C170" t="inlineStr">
        <is>
          <t>Föryngringsavverkning</t>
        </is>
      </c>
      <c r="D170" s="1" t="n">
        <v>45965</v>
      </c>
      <c r="E170" s="1" t="n">
        <v>46223</v>
      </c>
      <c r="F170" t="inlineStr">
        <is>
          <t>ÖSTERGÖTLANDS LÄN</t>
        </is>
      </c>
      <c r="G170" t="inlineStr">
        <is>
          <t>BOXHOLM</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54547-2025</t>
        </is>
      </c>
      <c r="B171" t="inlineStr">
        <is>
          <t>avverkningsanmälan</t>
        </is>
      </c>
      <c r="C171" t="inlineStr">
        <is>
          <t>Föryngringsavverkning</t>
        </is>
      </c>
      <c r="D171" s="1" t="n">
        <v>45965</v>
      </c>
      <c r="E171" s="1" t="n">
        <v>46223</v>
      </c>
      <c r="F171" t="inlineStr">
        <is>
          <t>ÖSTERGÖTLANDS LÄN</t>
        </is>
      </c>
      <c r="G171" t="inlineStr">
        <is>
          <t>BOXHOLM</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3129-2025</t>
        </is>
      </c>
      <c r="B172" t="inlineStr">
        <is>
          <t>avverkningsanmälan</t>
        </is>
      </c>
      <c r="C172" t="inlineStr">
        <is>
          <t>Föryngringsavverkning</t>
        </is>
      </c>
      <c r="D172" s="1" t="n">
        <v>45678</v>
      </c>
      <c r="E172" s="1" t="n">
        <v>46223</v>
      </c>
      <c r="F172" t="inlineStr">
        <is>
          <t>ÖSTERGÖTLANDS LÄN</t>
        </is>
      </c>
      <c r="G172" t="inlineStr">
        <is>
          <t>BOXHOLM</t>
        </is>
      </c>
      <c r="H172" t="inlineStr">
        <is>
          <t>Allmännings- och besparingsskogar</t>
        </is>
      </c>
      <c r="I172" t="n">
        <v>2.9</v>
      </c>
      <c r="J172" t="n">
        <v>0</v>
      </c>
      <c r="K172" t="n">
        <v>0</v>
      </c>
      <c r="L172" t="n">
        <v>0</v>
      </c>
      <c r="M172" t="n">
        <v>0</v>
      </c>
      <c r="N172" t="n">
        <v>0</v>
      </c>
      <c r="O172" t="n">
        <v>0</v>
      </c>
      <c r="P172" t="n">
        <v>0</v>
      </c>
      <c r="Q172" t="n">
        <v>0</v>
      </c>
      <c r="R172" t="n">
        <v>0</v>
      </c>
      <c r="S172" t="n">
        <v>0</v>
      </c>
      <c r="T172" t="n">
        <v>0</v>
      </c>
      <c r="U172" s="2" t="inlineStr"/>
    </row>
    <row r="173" ht="15" customHeight="1">
      <c r="A173" t="inlineStr">
        <is>
          <t>A 11304-2026</t>
        </is>
      </c>
      <c r="B173" t="inlineStr">
        <is>
          <t>avverkningsanmälan</t>
        </is>
      </c>
      <c r="C173" t="inlineStr">
        <is>
          <t>Föryngringsavverkning</t>
        </is>
      </c>
      <c r="D173" s="1" t="n">
        <v>46080</v>
      </c>
      <c r="E173" s="1" t="n">
        <v>46223</v>
      </c>
      <c r="F173" t="inlineStr">
        <is>
          <t>ÖSTERGÖTLANDS LÄN</t>
        </is>
      </c>
      <c r="G173" t="inlineStr">
        <is>
          <t>BOXHOLM</t>
        </is>
      </c>
      <c r="H173" t="inlineStr">
        <is>
          <t>Allmännings- och besparingsskogar</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2273-2025</t>
        </is>
      </c>
      <c r="B174" t="inlineStr">
        <is>
          <t>avverkningsanmälan</t>
        </is>
      </c>
      <c r="C174" t="inlineStr">
        <is>
          <t>Avverkning för annat ändamål</t>
        </is>
      </c>
      <c r="D174" s="1" t="n">
        <v>45673</v>
      </c>
      <c r="E174" s="1" t="n">
        <v>46223</v>
      </c>
      <c r="F174" t="inlineStr">
        <is>
          <t>ÖSTERGÖTLANDS LÄN</t>
        </is>
      </c>
      <c r="G174" t="inlineStr">
        <is>
          <t>BOXHOLM</t>
        </is>
      </c>
      <c r="H174" t="inlineStr">
        <is>
          <t>Övriga Aktiebolag</t>
        </is>
      </c>
      <c r="I174" t="n">
        <v>1.5</v>
      </c>
      <c r="J174" t="n">
        <v>0</v>
      </c>
      <c r="K174" t="n">
        <v>0</v>
      </c>
      <c r="L174" t="n">
        <v>0</v>
      </c>
      <c r="M174" t="n">
        <v>0</v>
      </c>
      <c r="N174" t="n">
        <v>0</v>
      </c>
      <c r="O174" t="n">
        <v>0</v>
      </c>
      <c r="P174" t="n">
        <v>0</v>
      </c>
      <c r="Q174" t="n">
        <v>0</v>
      </c>
      <c r="R174" t="n">
        <v>0</v>
      </c>
      <c r="S174" t="n">
        <v>0</v>
      </c>
      <c r="T174" t="n">
        <v>0</v>
      </c>
      <c r="U174" s="2" t="inlineStr"/>
    </row>
    <row r="175" ht="15" customHeight="1">
      <c r="A175" t="inlineStr">
        <is>
          <t>A 48322-2022</t>
        </is>
      </c>
      <c r="B175" t="inlineStr">
        <is>
          <t>avverkningsanmälan</t>
        </is>
      </c>
      <c r="C175" t="inlineStr">
        <is>
          <t>Föryngringsavverkning</t>
        </is>
      </c>
      <c r="D175" s="1" t="n">
        <v>44858</v>
      </c>
      <c r="E175" s="1" t="n">
        <v>46223</v>
      </c>
      <c r="F175" t="inlineStr">
        <is>
          <t>ÖSTERGÖTLANDS LÄN</t>
        </is>
      </c>
      <c r="G175" t="inlineStr">
        <is>
          <t>BOXHOLM</t>
        </is>
      </c>
      <c r="H175" t="inlineStr">
        <is>
          <t>Allmännings- och besparingsskogar</t>
        </is>
      </c>
      <c r="I175" t="n">
        <v>6</v>
      </c>
      <c r="J175" t="n">
        <v>0</v>
      </c>
      <c r="K175" t="n">
        <v>0</v>
      </c>
      <c r="L175" t="n">
        <v>0</v>
      </c>
      <c r="M175" t="n">
        <v>0</v>
      </c>
      <c r="N175" t="n">
        <v>0</v>
      </c>
      <c r="O175" t="n">
        <v>0</v>
      </c>
      <c r="P175" t="n">
        <v>0</v>
      </c>
      <c r="Q175" t="n">
        <v>0</v>
      </c>
      <c r="R175" t="n">
        <v>0</v>
      </c>
      <c r="S175" t="n">
        <v>0</v>
      </c>
      <c r="T175" t="n">
        <v>0</v>
      </c>
      <c r="U175" s="2" t="inlineStr"/>
    </row>
    <row r="176" ht="15" customHeight="1">
      <c r="A176" t="inlineStr">
        <is>
          <t>A 57606-2025</t>
        </is>
      </c>
      <c r="B176" t="inlineStr">
        <is>
          <t>avverkningsanmälan</t>
        </is>
      </c>
      <c r="C176" t="inlineStr">
        <is>
          <t>Föryngringsavverkning</t>
        </is>
      </c>
      <c r="D176" s="1" t="n">
        <v>45981</v>
      </c>
      <c r="E176" s="1" t="n">
        <v>46223</v>
      </c>
      <c r="F176" t="inlineStr">
        <is>
          <t>ÖSTERGÖTLANDS LÄN</t>
        </is>
      </c>
      <c r="G176" t="inlineStr">
        <is>
          <t>BOXHOLM</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22856-2023</t>
        </is>
      </c>
      <c r="B177" t="inlineStr">
        <is>
          <t>avverkningsanmälan</t>
        </is>
      </c>
      <c r="C177" t="inlineStr">
        <is>
          <t>Föryngringsavverkning</t>
        </is>
      </c>
      <c r="D177" s="1" t="n">
        <v>45072</v>
      </c>
      <c r="E177" s="1" t="n">
        <v>46223</v>
      </c>
      <c r="F177" t="inlineStr">
        <is>
          <t>ÖSTERGÖTLANDS LÄN</t>
        </is>
      </c>
      <c r="G177" t="inlineStr">
        <is>
          <t>BOXHOLM</t>
        </is>
      </c>
      <c r="I177" t="n">
        <v>2.5</v>
      </c>
      <c r="J177" t="n">
        <v>0</v>
      </c>
      <c r="K177" t="n">
        <v>0</v>
      </c>
      <c r="L177" t="n">
        <v>0</v>
      </c>
      <c r="M177" t="n">
        <v>0</v>
      </c>
      <c r="N177" t="n">
        <v>0</v>
      </c>
      <c r="O177" t="n">
        <v>0</v>
      </c>
      <c r="P177" t="n">
        <v>0</v>
      </c>
      <c r="Q177" t="n">
        <v>0</v>
      </c>
      <c r="R177" t="n">
        <v>0</v>
      </c>
      <c r="S177" t="n">
        <v>0</v>
      </c>
      <c r="T177" t="n">
        <v>0</v>
      </c>
      <c r="U177" s="2" t="inlineStr"/>
    </row>
    <row r="178" ht="15" customHeight="1">
      <c r="A178" t="inlineStr">
        <is>
          <t>A 21634-2023</t>
        </is>
      </c>
      <c r="B178" t="inlineStr">
        <is>
          <t>avverkningsanmälan</t>
        </is>
      </c>
      <c r="C178" t="inlineStr">
        <is>
          <t>Föryngringsavverkning</t>
        </is>
      </c>
      <c r="D178" s="1" t="n">
        <v>45062</v>
      </c>
      <c r="E178" s="1" t="n">
        <v>46223</v>
      </c>
      <c r="F178" t="inlineStr">
        <is>
          <t>ÖSTERGÖTLANDS LÄN</t>
        </is>
      </c>
      <c r="G178" t="inlineStr">
        <is>
          <t>BOXHOLM</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25230-2023</t>
        </is>
      </c>
      <c r="B179" t="inlineStr">
        <is>
          <t>avverkningsanmälan</t>
        </is>
      </c>
      <c r="C179" t="inlineStr">
        <is>
          <t>Föryngringsavverkning</t>
        </is>
      </c>
      <c r="D179" s="1" t="n">
        <v>45086</v>
      </c>
      <c r="E179" s="1" t="n">
        <v>46223</v>
      </c>
      <c r="F179" t="inlineStr">
        <is>
          <t>ÖSTERGÖTLANDS LÄN</t>
        </is>
      </c>
      <c r="G179" t="inlineStr">
        <is>
          <t>BOXHOLM</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58760-2025</t>
        </is>
      </c>
      <c r="B180" t="inlineStr">
        <is>
          <t>avverkningsanmälan</t>
        </is>
      </c>
      <c r="C180" t="inlineStr">
        <is>
          <t>Avverkning för att bevara och utveckla /försöksver</t>
        </is>
      </c>
      <c r="D180" s="1" t="n">
        <v>45986</v>
      </c>
      <c r="E180" s="1" t="n">
        <v>46223</v>
      </c>
      <c r="F180" t="inlineStr">
        <is>
          <t>ÖSTERGÖTLANDS LÄN</t>
        </is>
      </c>
      <c r="G180" t="inlineStr">
        <is>
          <t>BOXHOLM</t>
        </is>
      </c>
      <c r="H180" t="inlineStr">
        <is>
          <t>Övriga Aktiebolag</t>
        </is>
      </c>
      <c r="I180" t="n">
        <v>1.8</v>
      </c>
      <c r="J180" t="n">
        <v>0</v>
      </c>
      <c r="K180" t="n">
        <v>0</v>
      </c>
      <c r="L180" t="n">
        <v>0</v>
      </c>
      <c r="M180" t="n">
        <v>0</v>
      </c>
      <c r="N180" t="n">
        <v>0</v>
      </c>
      <c r="O180" t="n">
        <v>0</v>
      </c>
      <c r="P180" t="n">
        <v>0</v>
      </c>
      <c r="Q180" t="n">
        <v>0</v>
      </c>
      <c r="R180" t="n">
        <v>0</v>
      </c>
      <c r="S180" t="n">
        <v>0</v>
      </c>
      <c r="T180" t="n">
        <v>0</v>
      </c>
      <c r="U180" s="2" t="inlineStr"/>
    </row>
    <row r="181" ht="15" customHeight="1">
      <c r="A181" t="inlineStr">
        <is>
          <t>A 58763-2025</t>
        </is>
      </c>
      <c r="B181" t="inlineStr">
        <is>
          <t>avverkningsanmälan</t>
        </is>
      </c>
      <c r="C181" t="inlineStr">
        <is>
          <t>Avverkning för att bevara och utveckla /försöksver</t>
        </is>
      </c>
      <c r="D181" s="1" t="n">
        <v>45986</v>
      </c>
      <c r="E181" s="1" t="n">
        <v>46223</v>
      </c>
      <c r="F181" t="inlineStr">
        <is>
          <t>ÖSTERGÖTLANDS LÄN</t>
        </is>
      </c>
      <c r="G181" t="inlineStr">
        <is>
          <t>BOXHOLM</t>
        </is>
      </c>
      <c r="H181" t="inlineStr">
        <is>
          <t>Övriga Aktiebolag</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59833-2025</t>
        </is>
      </c>
      <c r="B182" t="inlineStr">
        <is>
          <t>avverkningsanmälan</t>
        </is>
      </c>
      <c r="C182" t="inlineStr">
        <is>
          <t>Föryngringsavverkning</t>
        </is>
      </c>
      <c r="D182" s="1" t="n">
        <v>45992</v>
      </c>
      <c r="E182" s="1" t="n">
        <v>46223</v>
      </c>
      <c r="F182" t="inlineStr">
        <is>
          <t>ÖSTERGÖTLANDS LÄN</t>
        </is>
      </c>
      <c r="G182" t="inlineStr">
        <is>
          <t>BOXHOLM</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54934-2022</t>
        </is>
      </c>
      <c r="B183" t="inlineStr">
        <is>
          <t>avverkningsanmälan</t>
        </is>
      </c>
      <c r="C183" t="inlineStr">
        <is>
          <t>Föryngringsavverkning</t>
        </is>
      </c>
      <c r="D183" s="1" t="n">
        <v>44886</v>
      </c>
      <c r="E183" s="1" t="n">
        <v>46223</v>
      </c>
      <c r="F183" t="inlineStr">
        <is>
          <t>ÖSTERGÖTLANDS LÄN</t>
        </is>
      </c>
      <c r="G183" t="inlineStr">
        <is>
          <t>BOXHOLM</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59485-2025</t>
        </is>
      </c>
      <c r="B184" t="inlineStr">
        <is>
          <t>avverkningsanmälan</t>
        </is>
      </c>
      <c r="C184" t="inlineStr">
        <is>
          <t>Föryngringsavverkning</t>
        </is>
      </c>
      <c r="D184" s="1" t="n">
        <v>45989</v>
      </c>
      <c r="E184" s="1" t="n">
        <v>46223</v>
      </c>
      <c r="F184" t="inlineStr">
        <is>
          <t>ÖSTERGÖTLANDS LÄN</t>
        </is>
      </c>
      <c r="G184" t="inlineStr">
        <is>
          <t>BOXHOLM</t>
        </is>
      </c>
      <c r="H184" t="inlineStr">
        <is>
          <t>Övriga Aktiebolag</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59490-2025</t>
        </is>
      </c>
      <c r="B185" t="inlineStr">
        <is>
          <t>avverkningsanmälan</t>
        </is>
      </c>
      <c r="C185" t="inlineStr">
        <is>
          <t>Föryngringsavverkning</t>
        </is>
      </c>
      <c r="D185" s="1" t="n">
        <v>45989</v>
      </c>
      <c r="E185" s="1" t="n">
        <v>46223</v>
      </c>
      <c r="F185" t="inlineStr">
        <is>
          <t>ÖSTERGÖTLANDS LÄN</t>
        </is>
      </c>
      <c r="G185" t="inlineStr">
        <is>
          <t>BOXHOLM</t>
        </is>
      </c>
      <c r="H185" t="inlineStr">
        <is>
          <t>Övriga Aktiebolag</t>
        </is>
      </c>
      <c r="I185" t="n">
        <v>2.2</v>
      </c>
      <c r="J185" t="n">
        <v>0</v>
      </c>
      <c r="K185" t="n">
        <v>0</v>
      </c>
      <c r="L185" t="n">
        <v>0</v>
      </c>
      <c r="M185" t="n">
        <v>0</v>
      </c>
      <c r="N185" t="n">
        <v>0</v>
      </c>
      <c r="O185" t="n">
        <v>0</v>
      </c>
      <c r="P185" t="n">
        <v>0</v>
      </c>
      <c r="Q185" t="n">
        <v>0</v>
      </c>
      <c r="R185" t="n">
        <v>0</v>
      </c>
      <c r="S185" t="n">
        <v>0</v>
      </c>
      <c r="T185" t="n">
        <v>0</v>
      </c>
      <c r="U185" s="2" t="inlineStr"/>
    </row>
    <row r="186" ht="15" customHeight="1">
      <c r="A186" t="inlineStr">
        <is>
          <t>A 56125-2025</t>
        </is>
      </c>
      <c r="B186" t="inlineStr">
        <is>
          <t>avverkningsanmälan</t>
        </is>
      </c>
      <c r="C186" t="inlineStr">
        <is>
          <t>Föryngringsavverkning</t>
        </is>
      </c>
      <c r="D186" s="1" t="n">
        <v>45973</v>
      </c>
      <c r="E186" s="1" t="n">
        <v>46223</v>
      </c>
      <c r="F186" t="inlineStr">
        <is>
          <t>ÖSTERGÖTLANDS LÄN</t>
        </is>
      </c>
      <c r="G186" t="inlineStr">
        <is>
          <t>BOXHOLM</t>
        </is>
      </c>
      <c r="H186" t="inlineStr">
        <is>
          <t>Övriga Aktiebolag</t>
        </is>
      </c>
      <c r="I186" t="n">
        <v>7.1</v>
      </c>
      <c r="J186" t="n">
        <v>0</v>
      </c>
      <c r="K186" t="n">
        <v>0</v>
      </c>
      <c r="L186" t="n">
        <v>0</v>
      </c>
      <c r="M186" t="n">
        <v>0</v>
      </c>
      <c r="N186" t="n">
        <v>0</v>
      </c>
      <c r="O186" t="n">
        <v>0</v>
      </c>
      <c r="P186" t="n">
        <v>0</v>
      </c>
      <c r="Q186" t="n">
        <v>0</v>
      </c>
      <c r="R186" t="n">
        <v>0</v>
      </c>
      <c r="S186" t="n">
        <v>0</v>
      </c>
      <c r="T186" t="n">
        <v>0</v>
      </c>
      <c r="U186" s="2" t="inlineStr"/>
    </row>
    <row r="187" ht="15" customHeight="1">
      <c r="A187" t="inlineStr">
        <is>
          <t>A 31673-2023</t>
        </is>
      </c>
      <c r="B187" t="inlineStr">
        <is>
          <t>avverkningsanmälan</t>
        </is>
      </c>
      <c r="C187" t="inlineStr">
        <is>
          <t>Avverkning för att bevara och utveckla /försöksver</t>
        </is>
      </c>
      <c r="D187" s="1" t="n">
        <v>45117</v>
      </c>
      <c r="E187" s="1" t="n">
        <v>46223</v>
      </c>
      <c r="F187" t="inlineStr">
        <is>
          <t>ÖSTERGÖTLANDS LÄN</t>
        </is>
      </c>
      <c r="G187" t="inlineStr">
        <is>
          <t>BOXHOLM</t>
        </is>
      </c>
      <c r="H187" t="inlineStr">
        <is>
          <t>Övriga Aktiebolag</t>
        </is>
      </c>
      <c r="I187" t="n">
        <v>4.6</v>
      </c>
      <c r="J187" t="n">
        <v>0</v>
      </c>
      <c r="K187" t="n">
        <v>0</v>
      </c>
      <c r="L187" t="n">
        <v>0</v>
      </c>
      <c r="M187" t="n">
        <v>0</v>
      </c>
      <c r="N187" t="n">
        <v>0</v>
      </c>
      <c r="O187" t="n">
        <v>0</v>
      </c>
      <c r="P187" t="n">
        <v>0</v>
      </c>
      <c r="Q187" t="n">
        <v>0</v>
      </c>
      <c r="R187" t="n">
        <v>0</v>
      </c>
      <c r="S187" t="n">
        <v>0</v>
      </c>
      <c r="T187" t="n">
        <v>0</v>
      </c>
      <c r="U187" s="2" t="inlineStr"/>
    </row>
    <row r="188" ht="15" customHeight="1">
      <c r="A188" t="inlineStr">
        <is>
          <t>A 60521-2025</t>
        </is>
      </c>
      <c r="B188" t="inlineStr">
        <is>
          <t>avverkningsanmälan</t>
        </is>
      </c>
      <c r="C188" t="inlineStr">
        <is>
          <t>Föryngringsavverkning</t>
        </is>
      </c>
      <c r="D188" s="1" t="n">
        <v>45995</v>
      </c>
      <c r="E188" s="1" t="n">
        <v>46223</v>
      </c>
      <c r="F188" t="inlineStr">
        <is>
          <t>ÖSTERGÖTLANDS LÄN</t>
        </is>
      </c>
      <c r="G188" t="inlineStr">
        <is>
          <t>BOXHOLM</t>
        </is>
      </c>
      <c r="H188" t="inlineStr">
        <is>
          <t>Allmännings- och besparingsskogar</t>
        </is>
      </c>
      <c r="I188" t="n">
        <v>9</v>
      </c>
      <c r="J188" t="n">
        <v>0</v>
      </c>
      <c r="K188" t="n">
        <v>0</v>
      </c>
      <c r="L188" t="n">
        <v>0</v>
      </c>
      <c r="M188" t="n">
        <v>0</v>
      </c>
      <c r="N188" t="n">
        <v>0</v>
      </c>
      <c r="O188" t="n">
        <v>0</v>
      </c>
      <c r="P188" t="n">
        <v>0</v>
      </c>
      <c r="Q188" t="n">
        <v>0</v>
      </c>
      <c r="R188" t="n">
        <v>0</v>
      </c>
      <c r="S188" t="n">
        <v>0</v>
      </c>
      <c r="T188" t="n">
        <v>0</v>
      </c>
      <c r="U188" s="2" t="inlineStr"/>
    </row>
    <row r="189" ht="15" customHeight="1">
      <c r="A189" t="inlineStr">
        <is>
          <t>A 60638-2025</t>
        </is>
      </c>
      <c r="B189" t="inlineStr">
        <is>
          <t>avverkningsanmälan</t>
        </is>
      </c>
      <c r="C189" t="inlineStr">
        <is>
          <t>Avverkning för att bevara och utveckla /försöksver</t>
        </is>
      </c>
      <c r="D189" s="1" t="n">
        <v>45996</v>
      </c>
      <c r="E189" s="1" t="n">
        <v>46223</v>
      </c>
      <c r="F189" t="inlineStr">
        <is>
          <t>ÖSTERGÖTLANDS LÄN</t>
        </is>
      </c>
      <c r="G189" t="inlineStr">
        <is>
          <t>BOXHOLM</t>
        </is>
      </c>
      <c r="H189" t="inlineStr">
        <is>
          <t>Övriga Aktiebolag</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15516-2025</t>
        </is>
      </c>
      <c r="B190" t="inlineStr">
        <is>
          <t>avverkningsanmälan</t>
        </is>
      </c>
      <c r="C190" t="inlineStr">
        <is>
          <t>Föryngringsavverkning</t>
        </is>
      </c>
      <c r="D190" s="1" t="n">
        <v>45747</v>
      </c>
      <c r="E190" s="1" t="n">
        <v>46223</v>
      </c>
      <c r="F190" t="inlineStr">
        <is>
          <t>ÖSTERGÖTLANDS LÄN</t>
        </is>
      </c>
      <c r="G190" t="inlineStr">
        <is>
          <t>BOXHOLM</t>
        </is>
      </c>
      <c r="H190" t="inlineStr">
        <is>
          <t>Övriga Aktiebolag</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55254-2022</t>
        </is>
      </c>
      <c r="B191" t="inlineStr">
        <is>
          <t>avverkningsanmälan</t>
        </is>
      </c>
      <c r="C191" t="inlineStr">
        <is>
          <t>Föryngringsavverkning</t>
        </is>
      </c>
      <c r="D191" s="1" t="n">
        <v>44887</v>
      </c>
      <c r="E191" s="1" t="n">
        <v>46223</v>
      </c>
      <c r="F191" t="inlineStr">
        <is>
          <t>ÖSTERGÖTLANDS LÄN</t>
        </is>
      </c>
      <c r="G191" t="inlineStr">
        <is>
          <t>BOXHOLM</t>
        </is>
      </c>
      <c r="H191" t="inlineStr">
        <is>
          <t>Övriga Aktiebolag</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61961-2025</t>
        </is>
      </c>
      <c r="B192" t="inlineStr">
        <is>
          <t>avverkningsanmälan</t>
        </is>
      </c>
      <c r="C192" t="inlineStr">
        <is>
          <t>Föryngringsavverkning</t>
        </is>
      </c>
      <c r="D192" s="1" t="n">
        <v>46003</v>
      </c>
      <c r="E192" s="1" t="n">
        <v>46223</v>
      </c>
      <c r="F192" t="inlineStr">
        <is>
          <t>ÖSTERGÖTLANDS LÄN</t>
        </is>
      </c>
      <c r="G192" t="inlineStr">
        <is>
          <t>BOXHOLM</t>
        </is>
      </c>
      <c r="I192" t="n">
        <v>3.5</v>
      </c>
      <c r="J192" t="n">
        <v>0</v>
      </c>
      <c r="K192" t="n">
        <v>0</v>
      </c>
      <c r="L192" t="n">
        <v>0</v>
      </c>
      <c r="M192" t="n">
        <v>0</v>
      </c>
      <c r="N192" t="n">
        <v>0</v>
      </c>
      <c r="O192" t="n">
        <v>0</v>
      </c>
      <c r="P192" t="n">
        <v>0</v>
      </c>
      <c r="Q192" t="n">
        <v>0</v>
      </c>
      <c r="R192" t="n">
        <v>0</v>
      </c>
      <c r="S192" t="n">
        <v>0</v>
      </c>
      <c r="T192" t="n">
        <v>0</v>
      </c>
      <c r="U192" s="2" t="inlineStr"/>
    </row>
    <row r="193" ht="15" customHeight="1">
      <c r="A193" t="inlineStr">
        <is>
          <t>A 61966-2025</t>
        </is>
      </c>
      <c r="B193" t="inlineStr">
        <is>
          <t>avverkningsanmälan</t>
        </is>
      </c>
      <c r="C193" t="inlineStr">
        <is>
          <t>Föryngringsavverkning</t>
        </is>
      </c>
      <c r="D193" s="1" t="n">
        <v>46003</v>
      </c>
      <c r="E193" s="1" t="n">
        <v>46223</v>
      </c>
      <c r="F193" t="inlineStr">
        <is>
          <t>ÖSTERGÖTLANDS LÄN</t>
        </is>
      </c>
      <c r="G193" t="inlineStr">
        <is>
          <t>BOXHOLM</t>
        </is>
      </c>
      <c r="I193" t="n">
        <v>5</v>
      </c>
      <c r="J193" t="n">
        <v>0</v>
      </c>
      <c r="K193" t="n">
        <v>0</v>
      </c>
      <c r="L193" t="n">
        <v>0</v>
      </c>
      <c r="M193" t="n">
        <v>0</v>
      </c>
      <c r="N193" t="n">
        <v>0</v>
      </c>
      <c r="O193" t="n">
        <v>0</v>
      </c>
      <c r="P193" t="n">
        <v>0</v>
      </c>
      <c r="Q193" t="n">
        <v>0</v>
      </c>
      <c r="R193" t="n">
        <v>0</v>
      </c>
      <c r="S193" t="n">
        <v>0</v>
      </c>
      <c r="T193" t="n">
        <v>0</v>
      </c>
      <c r="U193" s="2" t="inlineStr"/>
    </row>
    <row r="194" ht="15" customHeight="1">
      <c r="A194" t="inlineStr">
        <is>
          <t>A 62796-2025</t>
        </is>
      </c>
      <c r="B194" t="inlineStr">
        <is>
          <t>avverkningsanmälan</t>
        </is>
      </c>
      <c r="C194" t="inlineStr">
        <is>
          <t>Avverkning för att bevara och utveckla /försöksver</t>
        </is>
      </c>
      <c r="D194" s="1" t="n">
        <v>46008</v>
      </c>
      <c r="E194" s="1" t="n">
        <v>46223</v>
      </c>
      <c r="F194" t="inlineStr">
        <is>
          <t>ÖSTERGÖTLANDS LÄN</t>
        </is>
      </c>
      <c r="G194" t="inlineStr">
        <is>
          <t>BOXHOLM</t>
        </is>
      </c>
      <c r="H194" t="inlineStr">
        <is>
          <t>Övriga Aktiebolag</t>
        </is>
      </c>
      <c r="I194" t="n">
        <v>0.8</v>
      </c>
      <c r="J194" t="n">
        <v>0</v>
      </c>
      <c r="K194" t="n">
        <v>0</v>
      </c>
      <c r="L194" t="n">
        <v>0</v>
      </c>
      <c r="M194" t="n">
        <v>0</v>
      </c>
      <c r="N194" t="n">
        <v>0</v>
      </c>
      <c r="O194" t="n">
        <v>0</v>
      </c>
      <c r="P194" t="n">
        <v>0</v>
      </c>
      <c r="Q194" t="n">
        <v>0</v>
      </c>
      <c r="R194" t="n">
        <v>0</v>
      </c>
      <c r="S194" t="n">
        <v>0</v>
      </c>
      <c r="T194" t="n">
        <v>0</v>
      </c>
      <c r="U194" s="2" t="inlineStr"/>
    </row>
    <row r="195" ht="15" customHeight="1">
      <c r="A195" t="inlineStr">
        <is>
          <t>A 6209-2024</t>
        </is>
      </c>
      <c r="B195" t="inlineStr">
        <is>
          <t>avverkningsanmälan</t>
        </is>
      </c>
      <c r="C195" t="inlineStr">
        <is>
          <t>Föryngringsavverkning</t>
        </is>
      </c>
      <c r="D195" s="1" t="n">
        <v>45337</v>
      </c>
      <c r="E195" s="1" t="n">
        <v>46223</v>
      </c>
      <c r="F195" t="inlineStr">
        <is>
          <t>ÖSTERGÖTLANDS LÄN</t>
        </is>
      </c>
      <c r="G195" t="inlineStr">
        <is>
          <t>BOXHOLM</t>
        </is>
      </c>
      <c r="I195" t="n">
        <v>3</v>
      </c>
      <c r="J195" t="n">
        <v>0</v>
      </c>
      <c r="K195" t="n">
        <v>0</v>
      </c>
      <c r="L195" t="n">
        <v>0</v>
      </c>
      <c r="M195" t="n">
        <v>0</v>
      </c>
      <c r="N195" t="n">
        <v>0</v>
      </c>
      <c r="O195" t="n">
        <v>0</v>
      </c>
      <c r="P195" t="n">
        <v>0</v>
      </c>
      <c r="Q195" t="n">
        <v>0</v>
      </c>
      <c r="R195" t="n">
        <v>0</v>
      </c>
      <c r="S195" t="n">
        <v>0</v>
      </c>
      <c r="T195" t="n">
        <v>0</v>
      </c>
      <c r="U195" s="2" t="inlineStr"/>
    </row>
    <row r="196" ht="15" customHeight="1">
      <c r="A196" t="inlineStr">
        <is>
          <t>A 43471-2022</t>
        </is>
      </c>
      <c r="B196" t="inlineStr">
        <is>
          <t>avverkningsanmälan</t>
        </is>
      </c>
      <c r="C196" t="inlineStr">
        <is>
          <t>Föryngringsavverkning</t>
        </is>
      </c>
      <c r="D196" s="1" t="n">
        <v>44836</v>
      </c>
      <c r="E196" s="1" t="n">
        <v>46223</v>
      </c>
      <c r="F196" t="inlineStr">
        <is>
          <t>ÖSTERGÖTLANDS LÄN</t>
        </is>
      </c>
      <c r="G196" t="inlineStr">
        <is>
          <t>BOXHOLM</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62776-2025</t>
        </is>
      </c>
      <c r="B197" t="inlineStr">
        <is>
          <t>avverkningsanmälan</t>
        </is>
      </c>
      <c r="C197" t="inlineStr">
        <is>
          <t>Avverkning för att bevara och utveckla /försöksver</t>
        </is>
      </c>
      <c r="D197" s="1" t="n">
        <v>46008</v>
      </c>
      <c r="E197" s="1" t="n">
        <v>46223</v>
      </c>
      <c r="F197" t="inlineStr">
        <is>
          <t>ÖSTERGÖTLANDS LÄN</t>
        </is>
      </c>
      <c r="G197" t="inlineStr">
        <is>
          <t>BOXHOLM</t>
        </is>
      </c>
      <c r="H197" t="inlineStr">
        <is>
          <t>Övriga Aktiebolag</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14789-2026</t>
        </is>
      </c>
      <c r="B198" t="inlineStr">
        <is>
          <t>avverkningsanmälan</t>
        </is>
      </c>
      <c r="C198" t="inlineStr">
        <is>
          <t>Avverkning för att bevara och utveckla /försöksver</t>
        </is>
      </c>
      <c r="D198" s="1" t="n">
        <v>46101</v>
      </c>
      <c r="E198" s="1" t="n">
        <v>46223</v>
      </c>
      <c r="F198" t="inlineStr">
        <is>
          <t>ÖSTERGÖTLANDS LÄN</t>
        </is>
      </c>
      <c r="G198" t="inlineStr">
        <is>
          <t>BOXHOLM</t>
        </is>
      </c>
      <c r="H198" t="inlineStr">
        <is>
          <t>Övriga Aktiebolag</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59125-2022</t>
        </is>
      </c>
      <c r="B199" t="inlineStr">
        <is>
          <t>avverkningsanmälan</t>
        </is>
      </c>
      <c r="C199" t="inlineStr">
        <is>
          <t>Föryngringsavverkning</t>
        </is>
      </c>
      <c r="D199" s="1" t="n">
        <v>44904</v>
      </c>
      <c r="E199" s="1" t="n">
        <v>46223</v>
      </c>
      <c r="F199" t="inlineStr">
        <is>
          <t>ÖSTERGÖTLANDS LÄN</t>
        </is>
      </c>
      <c r="G199" t="inlineStr">
        <is>
          <t>BOXHOLM</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19601-2023</t>
        </is>
      </c>
      <c r="B200" t="inlineStr">
        <is>
          <t>avverkningsanmälan</t>
        </is>
      </c>
      <c r="C200" t="inlineStr">
        <is>
          <t>Föryngringsavverkning</t>
        </is>
      </c>
      <c r="D200" s="1" t="n">
        <v>45050</v>
      </c>
      <c r="E200" s="1" t="n">
        <v>46223</v>
      </c>
      <c r="F200" t="inlineStr">
        <is>
          <t>ÖSTERGÖTLANDS LÄN</t>
        </is>
      </c>
      <c r="G200" t="inlineStr">
        <is>
          <t>BOXHOLM</t>
        </is>
      </c>
      <c r="I200" t="n">
        <v>7.2</v>
      </c>
      <c r="J200" t="n">
        <v>0</v>
      </c>
      <c r="K200" t="n">
        <v>0</v>
      </c>
      <c r="L200" t="n">
        <v>0</v>
      </c>
      <c r="M200" t="n">
        <v>0</v>
      </c>
      <c r="N200" t="n">
        <v>0</v>
      </c>
      <c r="O200" t="n">
        <v>0</v>
      </c>
      <c r="P200" t="n">
        <v>0</v>
      </c>
      <c r="Q200" t="n">
        <v>0</v>
      </c>
      <c r="R200" t="n">
        <v>0</v>
      </c>
      <c r="S200" t="n">
        <v>0</v>
      </c>
      <c r="T200" t="n">
        <v>0</v>
      </c>
      <c r="U200" s="2" t="inlineStr"/>
    </row>
    <row r="201" ht="15" customHeight="1">
      <c r="A201" t="inlineStr">
        <is>
          <t>A 23857-2023</t>
        </is>
      </c>
      <c r="B201" t="inlineStr">
        <is>
          <t>avverkningsanmälan</t>
        </is>
      </c>
      <c r="C201" t="inlineStr">
        <is>
          <t>Föryngringsavverkning</t>
        </is>
      </c>
      <c r="D201" s="1" t="n">
        <v>45078</v>
      </c>
      <c r="E201" s="1" t="n">
        <v>46223</v>
      </c>
      <c r="F201" t="inlineStr">
        <is>
          <t>ÖSTERGÖTLANDS LÄN</t>
        </is>
      </c>
      <c r="G201" t="inlineStr">
        <is>
          <t>BOXHOLM</t>
        </is>
      </c>
      <c r="H201" t="inlineStr">
        <is>
          <t>Övriga Aktiebolag</t>
        </is>
      </c>
      <c r="I201" t="n">
        <v>2.4</v>
      </c>
      <c r="J201" t="n">
        <v>0</v>
      </c>
      <c r="K201" t="n">
        <v>0</v>
      </c>
      <c r="L201" t="n">
        <v>0</v>
      </c>
      <c r="M201" t="n">
        <v>0</v>
      </c>
      <c r="N201" t="n">
        <v>0</v>
      </c>
      <c r="O201" t="n">
        <v>0</v>
      </c>
      <c r="P201" t="n">
        <v>0</v>
      </c>
      <c r="Q201" t="n">
        <v>0</v>
      </c>
      <c r="R201" t="n">
        <v>0</v>
      </c>
      <c r="S201" t="n">
        <v>0</v>
      </c>
      <c r="T201" t="n">
        <v>0</v>
      </c>
      <c r="U201" s="2" t="inlineStr"/>
    </row>
    <row r="202" ht="15" customHeight="1">
      <c r="A202" t="inlineStr">
        <is>
          <t>A 74111-2021</t>
        </is>
      </c>
      <c r="B202" t="inlineStr">
        <is>
          <t>avverkningsanmälan</t>
        </is>
      </c>
      <c r="C202" t="inlineStr">
        <is>
          <t>Föryngringsavverkning</t>
        </is>
      </c>
      <c r="D202" s="1" t="n">
        <v>44557</v>
      </c>
      <c r="E202" s="1" t="n">
        <v>46223</v>
      </c>
      <c r="F202" t="inlineStr">
        <is>
          <t>ÖSTERGÖTLANDS LÄN</t>
        </is>
      </c>
      <c r="G202" t="inlineStr">
        <is>
          <t>BOXHOLM</t>
        </is>
      </c>
      <c r="I202" t="n">
        <v>5.3</v>
      </c>
      <c r="J202" t="n">
        <v>0</v>
      </c>
      <c r="K202" t="n">
        <v>0</v>
      </c>
      <c r="L202" t="n">
        <v>0</v>
      </c>
      <c r="M202" t="n">
        <v>0</v>
      </c>
      <c r="N202" t="n">
        <v>0</v>
      </c>
      <c r="O202" t="n">
        <v>0</v>
      </c>
      <c r="P202" t="n">
        <v>0</v>
      </c>
      <c r="Q202" t="n">
        <v>0</v>
      </c>
      <c r="R202" t="n">
        <v>0</v>
      </c>
      <c r="S202" t="n">
        <v>0</v>
      </c>
      <c r="T202" t="n">
        <v>0</v>
      </c>
      <c r="U202" s="2" t="inlineStr"/>
    </row>
    <row r="203" ht="15" customHeight="1">
      <c r="A203" t="inlineStr">
        <is>
          <t>A 74128-2021</t>
        </is>
      </c>
      <c r="B203" t="inlineStr">
        <is>
          <t>avverkningsanmälan</t>
        </is>
      </c>
      <c r="C203" t="inlineStr">
        <is>
          <t>Föryngringsavverkning</t>
        </is>
      </c>
      <c r="D203" s="1" t="n">
        <v>44557</v>
      </c>
      <c r="E203" s="1" t="n">
        <v>46223</v>
      </c>
      <c r="F203" t="inlineStr">
        <is>
          <t>ÖSTERGÖTLANDS LÄN</t>
        </is>
      </c>
      <c r="G203" t="inlineStr">
        <is>
          <t>BOXHOLM</t>
        </is>
      </c>
      <c r="I203" t="n">
        <v>4.9</v>
      </c>
      <c r="J203" t="n">
        <v>0</v>
      </c>
      <c r="K203" t="n">
        <v>0</v>
      </c>
      <c r="L203" t="n">
        <v>0</v>
      </c>
      <c r="M203" t="n">
        <v>0</v>
      </c>
      <c r="N203" t="n">
        <v>0</v>
      </c>
      <c r="O203" t="n">
        <v>0</v>
      </c>
      <c r="P203" t="n">
        <v>0</v>
      </c>
      <c r="Q203" t="n">
        <v>0</v>
      </c>
      <c r="R203" t="n">
        <v>0</v>
      </c>
      <c r="S203" t="n">
        <v>0</v>
      </c>
      <c r="T203" t="n">
        <v>0</v>
      </c>
      <c r="U203" s="2" t="inlineStr"/>
    </row>
    <row r="204" ht="15" customHeight="1">
      <c r="A204" t="inlineStr">
        <is>
          <t>A 49990-2021</t>
        </is>
      </c>
      <c r="B204" t="inlineStr">
        <is>
          <t>avverkningsanmälan</t>
        </is>
      </c>
      <c r="C204" t="inlineStr">
        <is>
          <t>Föryngringsavverkning</t>
        </is>
      </c>
      <c r="D204" s="1" t="n">
        <v>44456</v>
      </c>
      <c r="E204" s="1" t="n">
        <v>46223</v>
      </c>
      <c r="F204" t="inlineStr">
        <is>
          <t>ÖSTERGÖTLANDS LÄN</t>
        </is>
      </c>
      <c r="G204" t="inlineStr">
        <is>
          <t>BOXHOLM</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25254-2023</t>
        </is>
      </c>
      <c r="B205" t="inlineStr">
        <is>
          <t>avverkningsanmälan</t>
        </is>
      </c>
      <c r="C205" t="inlineStr">
        <is>
          <t>Föryngringsavverkning</t>
        </is>
      </c>
      <c r="D205" s="1" t="n">
        <v>45086</v>
      </c>
      <c r="E205" s="1" t="n">
        <v>46223</v>
      </c>
      <c r="F205" t="inlineStr">
        <is>
          <t>ÖSTERGÖTLANDS LÄN</t>
        </is>
      </c>
      <c r="G205" t="inlineStr">
        <is>
          <t>BOXHOLM</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1090-2026</t>
        </is>
      </c>
      <c r="B206" t="inlineStr">
        <is>
          <t>avverkningsanmälan</t>
        </is>
      </c>
      <c r="C206" t="inlineStr">
        <is>
          <t>Föryngringsavverkning</t>
        </is>
      </c>
      <c r="D206" s="1" t="n">
        <v>46030</v>
      </c>
      <c r="E206" s="1" t="n">
        <v>46223</v>
      </c>
      <c r="F206" t="inlineStr">
        <is>
          <t>ÖSTERGÖTLANDS LÄN</t>
        </is>
      </c>
      <c r="G206" t="inlineStr">
        <is>
          <t>BOXHOLM</t>
        </is>
      </c>
      <c r="H206" t="inlineStr">
        <is>
          <t>Allmännings- och besparingsskogar</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65333-2021</t>
        </is>
      </c>
      <c r="B207" t="inlineStr">
        <is>
          <t>avverkningsanmälan</t>
        </is>
      </c>
      <c r="C207" t="inlineStr">
        <is>
          <t>Föryngringsavverkning</t>
        </is>
      </c>
      <c r="D207" s="1" t="n">
        <v>44515</v>
      </c>
      <c r="E207" s="1" t="n">
        <v>46223</v>
      </c>
      <c r="F207" t="inlineStr">
        <is>
          <t>ÖSTERGÖTLANDS LÄN</t>
        </is>
      </c>
      <c r="G207" t="inlineStr">
        <is>
          <t>BOXHOLM</t>
        </is>
      </c>
      <c r="I207" t="n">
        <v>2.4</v>
      </c>
      <c r="J207" t="n">
        <v>0</v>
      </c>
      <c r="K207" t="n">
        <v>0</v>
      </c>
      <c r="L207" t="n">
        <v>0</v>
      </c>
      <c r="M207" t="n">
        <v>0</v>
      </c>
      <c r="N207" t="n">
        <v>0</v>
      </c>
      <c r="O207" t="n">
        <v>0</v>
      </c>
      <c r="P207" t="n">
        <v>0</v>
      </c>
      <c r="Q207" t="n">
        <v>0</v>
      </c>
      <c r="R207" t="n">
        <v>0</v>
      </c>
      <c r="S207" t="n">
        <v>0</v>
      </c>
      <c r="T207" t="n">
        <v>0</v>
      </c>
      <c r="U207" s="2" t="inlineStr"/>
    </row>
    <row r="208" ht="15" customHeight="1">
      <c r="A208" t="inlineStr">
        <is>
          <t>A 15504-2023</t>
        </is>
      </c>
      <c r="B208" t="inlineStr">
        <is>
          <t>avverkningsanmälan</t>
        </is>
      </c>
      <c r="C208" t="inlineStr">
        <is>
          <t>Föryngringsavverkning</t>
        </is>
      </c>
      <c r="D208" s="1" t="n">
        <v>45020</v>
      </c>
      <c r="E208" s="1" t="n">
        <v>46223</v>
      </c>
      <c r="F208" t="inlineStr">
        <is>
          <t>ÖSTERGÖTLANDS LÄN</t>
        </is>
      </c>
      <c r="G208" t="inlineStr">
        <is>
          <t>BOXHOLM</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53342-2024</t>
        </is>
      </c>
      <c r="B209" t="inlineStr">
        <is>
          <t>avverkningsanmälan</t>
        </is>
      </c>
      <c r="C209" t="inlineStr">
        <is>
          <t>Föryngringsavverkning</t>
        </is>
      </c>
      <c r="D209" s="1" t="n">
        <v>45614</v>
      </c>
      <c r="E209" s="1" t="n">
        <v>46223</v>
      </c>
      <c r="F209" t="inlineStr">
        <is>
          <t>ÖSTERGÖTLANDS LÄN</t>
        </is>
      </c>
      <c r="G209" t="inlineStr">
        <is>
          <t>BOXHOLM</t>
        </is>
      </c>
      <c r="H209" t="inlineStr">
        <is>
          <t>Övriga Aktiebolag</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17872-2025</t>
        </is>
      </c>
      <c r="B210" t="inlineStr">
        <is>
          <t>avverkningsanmälan</t>
        </is>
      </c>
      <c r="C210" t="inlineStr">
        <is>
          <t>Avverkning för att bevara och utveckla /försöksver</t>
        </is>
      </c>
      <c r="D210" s="1" t="n">
        <v>45758</v>
      </c>
      <c r="E210" s="1" t="n">
        <v>46223</v>
      </c>
      <c r="F210" t="inlineStr">
        <is>
          <t>ÖSTERGÖTLANDS LÄN</t>
        </is>
      </c>
      <c r="G210" t="inlineStr">
        <is>
          <t>BOXHOLM</t>
        </is>
      </c>
      <c r="H210" t="inlineStr">
        <is>
          <t>Övriga Aktiebolag</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2203-2026</t>
        </is>
      </c>
      <c r="B211" t="inlineStr">
        <is>
          <t>avverkningsanmälan</t>
        </is>
      </c>
      <c r="C211" t="inlineStr">
        <is>
          <t>Föryngringsavverkning</t>
        </is>
      </c>
      <c r="D211" s="1" t="n">
        <v>46036</v>
      </c>
      <c r="E211" s="1" t="n">
        <v>46223</v>
      </c>
      <c r="F211" t="inlineStr">
        <is>
          <t>ÖSTERGÖTLANDS LÄN</t>
        </is>
      </c>
      <c r="G211" t="inlineStr">
        <is>
          <t>BOXHOLM</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9115-2023</t>
        </is>
      </c>
      <c r="B212" t="inlineStr">
        <is>
          <t>avverkningsanmälan</t>
        </is>
      </c>
      <c r="C212" t="inlineStr">
        <is>
          <t>Föryngringsavverkning</t>
        </is>
      </c>
      <c r="D212" s="1" t="n">
        <v>44980</v>
      </c>
      <c r="E212" s="1" t="n">
        <v>46223</v>
      </c>
      <c r="F212" t="inlineStr">
        <is>
          <t>ÖSTERGÖTLANDS LÄN</t>
        </is>
      </c>
      <c r="G212" t="inlineStr">
        <is>
          <t>BOXHOLM</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47333-2024</t>
        </is>
      </c>
      <c r="B213" t="inlineStr">
        <is>
          <t>avverkningsanmälan</t>
        </is>
      </c>
      <c r="C213" t="inlineStr">
        <is>
          <t>Föryngringsavverkning</t>
        </is>
      </c>
      <c r="D213" s="1" t="n">
        <v>45587</v>
      </c>
      <c r="E213" s="1" t="n">
        <v>46223</v>
      </c>
      <c r="F213" t="inlineStr">
        <is>
          <t>ÖSTERGÖTLANDS LÄN</t>
        </is>
      </c>
      <c r="G213" t="inlineStr">
        <is>
          <t>BOXHOLM</t>
        </is>
      </c>
      <c r="H213" t="inlineStr">
        <is>
          <t>Allmännings- och besparingsskogar</t>
        </is>
      </c>
      <c r="I213" t="n">
        <v>4.5</v>
      </c>
      <c r="J213" t="n">
        <v>0</v>
      </c>
      <c r="K213" t="n">
        <v>0</v>
      </c>
      <c r="L213" t="n">
        <v>0</v>
      </c>
      <c r="M213" t="n">
        <v>0</v>
      </c>
      <c r="N213" t="n">
        <v>0</v>
      </c>
      <c r="O213" t="n">
        <v>0</v>
      </c>
      <c r="P213" t="n">
        <v>0</v>
      </c>
      <c r="Q213" t="n">
        <v>0</v>
      </c>
      <c r="R213" t="n">
        <v>0</v>
      </c>
      <c r="S213" t="n">
        <v>0</v>
      </c>
      <c r="T213" t="n">
        <v>0</v>
      </c>
      <c r="U213" s="2" t="inlineStr"/>
    </row>
    <row r="214" ht="15" customHeight="1">
      <c r="A214" t="inlineStr">
        <is>
          <t>A 60867-2022</t>
        </is>
      </c>
      <c r="B214" t="inlineStr">
        <is>
          <t>avverkningsanmälan</t>
        </is>
      </c>
      <c r="C214" t="inlineStr">
        <is>
          <t>Avverkning för annat ändamål</t>
        </is>
      </c>
      <c r="D214" s="1" t="n">
        <v>44914</v>
      </c>
      <c r="E214" s="1" t="n">
        <v>46223</v>
      </c>
      <c r="F214" t="inlineStr">
        <is>
          <t>ÖSTERGÖTLANDS LÄN</t>
        </is>
      </c>
      <c r="G214" t="inlineStr">
        <is>
          <t>BOXHOLM</t>
        </is>
      </c>
      <c r="H214" t="inlineStr">
        <is>
          <t>Övriga Aktiebolag</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35345-2023</t>
        </is>
      </c>
      <c r="B215" t="inlineStr">
        <is>
          <t>avverkningsanmälan</t>
        </is>
      </c>
      <c r="C215" t="inlineStr">
        <is>
          <t>Föryngringsavverkning</t>
        </is>
      </c>
      <c r="D215" s="1" t="n">
        <v>45146</v>
      </c>
      <c r="E215" s="1" t="n">
        <v>46223</v>
      </c>
      <c r="F215" t="inlineStr">
        <is>
          <t>ÖSTERGÖTLANDS LÄN</t>
        </is>
      </c>
      <c r="G215" t="inlineStr">
        <is>
          <t>BOXHOLM</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36453-2024</t>
        </is>
      </c>
      <c r="B216" t="inlineStr">
        <is>
          <t>avverkningsanmälan</t>
        </is>
      </c>
      <c r="C216" t="inlineStr">
        <is>
          <t>Avverkning för att bevara och utveckla /försöksver</t>
        </is>
      </c>
      <c r="D216" s="1" t="n">
        <v>45537</v>
      </c>
      <c r="E216" s="1" t="n">
        <v>46223</v>
      </c>
      <c r="F216" t="inlineStr">
        <is>
          <t>ÖSTERGÖTLANDS LÄN</t>
        </is>
      </c>
      <c r="G216" t="inlineStr">
        <is>
          <t>BOXHOLM</t>
        </is>
      </c>
      <c r="H216" t="inlineStr">
        <is>
          <t>Övriga Aktiebolag</t>
        </is>
      </c>
      <c r="I216" t="n">
        <v>0.8</v>
      </c>
      <c r="J216" t="n">
        <v>0</v>
      </c>
      <c r="K216" t="n">
        <v>0</v>
      </c>
      <c r="L216" t="n">
        <v>0</v>
      </c>
      <c r="M216" t="n">
        <v>0</v>
      </c>
      <c r="N216" t="n">
        <v>0</v>
      </c>
      <c r="O216" t="n">
        <v>0</v>
      </c>
      <c r="P216" t="n">
        <v>0</v>
      </c>
      <c r="Q216" t="n">
        <v>0</v>
      </c>
      <c r="R216" t="n">
        <v>0</v>
      </c>
      <c r="S216" t="n">
        <v>0</v>
      </c>
      <c r="T216" t="n">
        <v>0</v>
      </c>
      <c r="U216" s="2" t="inlineStr"/>
    </row>
    <row r="217" ht="15" customHeight="1">
      <c r="A217" t="inlineStr">
        <is>
          <t>A 37400-2023</t>
        </is>
      </c>
      <c r="B217" t="inlineStr">
        <is>
          <t>avverkningsanmälan</t>
        </is>
      </c>
      <c r="C217" t="inlineStr">
        <is>
          <t>Föryngringsavverkning</t>
        </is>
      </c>
      <c r="D217" s="1" t="n">
        <v>45156</v>
      </c>
      <c r="E217" s="1" t="n">
        <v>46223</v>
      </c>
      <c r="F217" t="inlineStr">
        <is>
          <t>ÖSTERGÖTLANDS LÄN</t>
        </is>
      </c>
      <c r="G217" t="inlineStr">
        <is>
          <t>BOXHOLM</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8843-2025</t>
        </is>
      </c>
      <c r="B218" t="inlineStr">
        <is>
          <t>avverkningsanmälan</t>
        </is>
      </c>
      <c r="C218" t="inlineStr">
        <is>
          <t>Avverkning för att bevara och utveckla /försöksver</t>
        </is>
      </c>
      <c r="D218" s="1" t="n">
        <v>45713</v>
      </c>
      <c r="E218" s="1" t="n">
        <v>46223</v>
      </c>
      <c r="F218" t="inlineStr">
        <is>
          <t>ÖSTERGÖTLANDS LÄN</t>
        </is>
      </c>
      <c r="G218" t="inlineStr">
        <is>
          <t>BOXHOLM</t>
        </is>
      </c>
      <c r="H218" t="inlineStr">
        <is>
          <t>Övriga Aktiebolag</t>
        </is>
      </c>
      <c r="I218" t="n">
        <v>0</v>
      </c>
      <c r="J218" t="n">
        <v>0</v>
      </c>
      <c r="K218" t="n">
        <v>0</v>
      </c>
      <c r="L218" t="n">
        <v>0</v>
      </c>
      <c r="M218" t="n">
        <v>0</v>
      </c>
      <c r="N218" t="n">
        <v>0</v>
      </c>
      <c r="O218" t="n">
        <v>0</v>
      </c>
      <c r="P218" t="n">
        <v>0</v>
      </c>
      <c r="Q218" t="n">
        <v>0</v>
      </c>
      <c r="R218" t="n">
        <v>0</v>
      </c>
      <c r="S218" t="n">
        <v>0</v>
      </c>
      <c r="T218" t="n">
        <v>0</v>
      </c>
      <c r="U218" s="2" t="inlineStr"/>
    </row>
    <row r="219" ht="15" customHeight="1">
      <c r="A219" t="inlineStr">
        <is>
          <t>A 15498-2023</t>
        </is>
      </c>
      <c r="B219" t="inlineStr">
        <is>
          <t>avverkningsanmälan</t>
        </is>
      </c>
      <c r="C219" t="inlineStr">
        <is>
          <t>Föryngringsavverkning</t>
        </is>
      </c>
      <c r="D219" s="1" t="n">
        <v>45020</v>
      </c>
      <c r="E219" s="1" t="n">
        <v>46223</v>
      </c>
      <c r="F219" t="inlineStr">
        <is>
          <t>ÖSTERGÖTLANDS LÄN</t>
        </is>
      </c>
      <c r="G219" t="inlineStr">
        <is>
          <t>BOXHOLM</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15501-2023</t>
        </is>
      </c>
      <c r="B220" t="inlineStr">
        <is>
          <t>avverkningsanmälan</t>
        </is>
      </c>
      <c r="C220" t="inlineStr">
        <is>
          <t>Föryngringsavverkning</t>
        </is>
      </c>
      <c r="D220" s="1" t="n">
        <v>45020</v>
      </c>
      <c r="E220" s="1" t="n">
        <v>46223</v>
      </c>
      <c r="F220" t="inlineStr">
        <is>
          <t>ÖSTERGÖTLANDS LÄN</t>
        </is>
      </c>
      <c r="G220" t="inlineStr">
        <is>
          <t>BOXHOLM</t>
        </is>
      </c>
      <c r="I220" t="n">
        <v>0</v>
      </c>
      <c r="J220" t="n">
        <v>0</v>
      </c>
      <c r="K220" t="n">
        <v>0</v>
      </c>
      <c r="L220" t="n">
        <v>0</v>
      </c>
      <c r="M220" t="n">
        <v>0</v>
      </c>
      <c r="N220" t="n">
        <v>0</v>
      </c>
      <c r="O220" t="n">
        <v>0</v>
      </c>
      <c r="P220" t="n">
        <v>0</v>
      </c>
      <c r="Q220" t="n">
        <v>0</v>
      </c>
      <c r="R220" t="n">
        <v>0</v>
      </c>
      <c r="S220" t="n">
        <v>0</v>
      </c>
      <c r="T220" t="n">
        <v>0</v>
      </c>
      <c r="U220" s="2" t="inlineStr"/>
    </row>
    <row r="221" ht="15" customHeight="1">
      <c r="A221" t="inlineStr">
        <is>
          <t>A 15505-2023</t>
        </is>
      </c>
      <c r="B221" t="inlineStr">
        <is>
          <t>avverkningsanmälan</t>
        </is>
      </c>
      <c r="C221" t="inlineStr">
        <is>
          <t>Föryngringsavverkning</t>
        </is>
      </c>
      <c r="D221" s="1" t="n">
        <v>45020</v>
      </c>
      <c r="E221" s="1" t="n">
        <v>46223</v>
      </c>
      <c r="F221" t="inlineStr">
        <is>
          <t>ÖSTERGÖTLANDS LÄN</t>
        </is>
      </c>
      <c r="G221" t="inlineStr">
        <is>
          <t>BOXHOLM</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36491-2023</t>
        </is>
      </c>
      <c r="B222" t="inlineStr">
        <is>
          <t>avverkningsanmälan</t>
        </is>
      </c>
      <c r="C222" t="inlineStr">
        <is>
          <t>Föryngringsavverkning</t>
        </is>
      </c>
      <c r="D222" s="1" t="n">
        <v>45152</v>
      </c>
      <c r="E222" s="1" t="n">
        <v>46223</v>
      </c>
      <c r="F222" t="inlineStr">
        <is>
          <t>ÖSTERGÖTLANDS LÄN</t>
        </is>
      </c>
      <c r="G222" t="inlineStr">
        <is>
          <t>BOXHOLM</t>
        </is>
      </c>
      <c r="I222" t="n">
        <v>10</v>
      </c>
      <c r="J222" t="n">
        <v>0</v>
      </c>
      <c r="K222" t="n">
        <v>0</v>
      </c>
      <c r="L222" t="n">
        <v>0</v>
      </c>
      <c r="M222" t="n">
        <v>0</v>
      </c>
      <c r="N222" t="n">
        <v>0</v>
      </c>
      <c r="O222" t="n">
        <v>0</v>
      </c>
      <c r="P222" t="n">
        <v>0</v>
      </c>
      <c r="Q222" t="n">
        <v>0</v>
      </c>
      <c r="R222" t="n">
        <v>0</v>
      </c>
      <c r="S222" t="n">
        <v>0</v>
      </c>
      <c r="T222" t="n">
        <v>0</v>
      </c>
      <c r="U222" s="2" t="inlineStr"/>
    </row>
    <row r="223" ht="15" customHeight="1">
      <c r="A223" t="inlineStr">
        <is>
          <t>A 48475-2024</t>
        </is>
      </c>
      <c r="B223" t="inlineStr">
        <is>
          <t>avverkningsanmälan</t>
        </is>
      </c>
      <c r="C223" t="inlineStr">
        <is>
          <t>Föryngringsavverkning</t>
        </is>
      </c>
      <c r="D223" s="1" t="n">
        <v>45591</v>
      </c>
      <c r="E223" s="1" t="n">
        <v>46223</v>
      </c>
      <c r="F223" t="inlineStr">
        <is>
          <t>ÖSTERGÖTLANDS LÄN</t>
        </is>
      </c>
      <c r="G223" t="inlineStr">
        <is>
          <t>BOXHOLM</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35432-2023</t>
        </is>
      </c>
      <c r="B224" t="inlineStr">
        <is>
          <t>avverkningsanmälan</t>
        </is>
      </c>
      <c r="C224" t="inlineStr">
        <is>
          <t>Föryngringsavverkning</t>
        </is>
      </c>
      <c r="D224" s="1" t="n">
        <v>45146</v>
      </c>
      <c r="E224" s="1" t="n">
        <v>46223</v>
      </c>
      <c r="F224" t="inlineStr">
        <is>
          <t>ÖSTERGÖTLANDS LÄN</t>
        </is>
      </c>
      <c r="G224" t="inlineStr">
        <is>
          <t>BOXHOLM</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51359-2024</t>
        </is>
      </c>
      <c r="B225" t="inlineStr">
        <is>
          <t>avverkningsanmälan</t>
        </is>
      </c>
      <c r="C225" t="inlineStr">
        <is>
          <t>Föryngringsavverkning</t>
        </is>
      </c>
      <c r="D225" s="1" t="n">
        <v>45604</v>
      </c>
      <c r="E225" s="1" t="n">
        <v>46223</v>
      </c>
      <c r="F225" t="inlineStr">
        <is>
          <t>ÖSTERGÖTLANDS LÄN</t>
        </is>
      </c>
      <c r="G225" t="inlineStr">
        <is>
          <t>BOXHOLM</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7061-2024</t>
        </is>
      </c>
      <c r="B226" t="inlineStr">
        <is>
          <t>avverkningsanmälan</t>
        </is>
      </c>
      <c r="C226" t="inlineStr">
        <is>
          <t>Föryngringsavverkning</t>
        </is>
      </c>
      <c r="D226" s="1" t="n">
        <v>45343</v>
      </c>
      <c r="E226" s="1" t="n">
        <v>46223</v>
      </c>
      <c r="F226" t="inlineStr">
        <is>
          <t>ÖSTERGÖTLANDS LÄN</t>
        </is>
      </c>
      <c r="G226" t="inlineStr">
        <is>
          <t>BOXHOLM</t>
        </is>
      </c>
      <c r="H226" t="inlineStr">
        <is>
          <t>Allmännings- och besparingsskogar</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49119-2025</t>
        </is>
      </c>
      <c r="B227" t="inlineStr">
        <is>
          <t>avverkningsanmälan</t>
        </is>
      </c>
      <c r="C227" t="inlineStr">
        <is>
          <t>Föryngringsavverkning</t>
        </is>
      </c>
      <c r="D227" s="1" t="n">
        <v>45937</v>
      </c>
      <c r="E227" s="1" t="n">
        <v>46223</v>
      </c>
      <c r="F227" t="inlineStr">
        <is>
          <t>ÖSTERGÖTLANDS LÄN</t>
        </is>
      </c>
      <c r="G227" t="inlineStr">
        <is>
          <t>BOXHOLM</t>
        </is>
      </c>
      <c r="I227" t="n">
        <v>2.8</v>
      </c>
      <c r="J227" t="n">
        <v>0</v>
      </c>
      <c r="K227" t="n">
        <v>0</v>
      </c>
      <c r="L227" t="n">
        <v>0</v>
      </c>
      <c r="M227" t="n">
        <v>0</v>
      </c>
      <c r="N227" t="n">
        <v>0</v>
      </c>
      <c r="O227" t="n">
        <v>0</v>
      </c>
      <c r="P227" t="n">
        <v>0</v>
      </c>
      <c r="Q227" t="n">
        <v>0</v>
      </c>
      <c r="R227" t="n">
        <v>0</v>
      </c>
      <c r="S227" t="n">
        <v>0</v>
      </c>
      <c r="T227" t="n">
        <v>0</v>
      </c>
      <c r="U227" s="2" t="inlineStr"/>
    </row>
    <row r="228" ht="15" customHeight="1">
      <c r="A228" t="inlineStr">
        <is>
          <t>A 23834-2023</t>
        </is>
      </c>
      <c r="B228" t="inlineStr">
        <is>
          <t>avverkningsanmälan</t>
        </is>
      </c>
      <c r="C228" t="inlineStr">
        <is>
          <t>Föryngringsavverkning</t>
        </is>
      </c>
      <c r="D228" s="1" t="n">
        <v>45078</v>
      </c>
      <c r="E228" s="1" t="n">
        <v>46223</v>
      </c>
      <c r="F228" t="inlineStr">
        <is>
          <t>ÖSTERGÖTLANDS LÄN</t>
        </is>
      </c>
      <c r="G228" t="inlineStr">
        <is>
          <t>BOXHOLM</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37578-2022</t>
        </is>
      </c>
      <c r="B229" t="inlineStr">
        <is>
          <t>avverkningsanmälan</t>
        </is>
      </c>
      <c r="C229" t="inlineStr">
        <is>
          <t>Föryngringsavverkning</t>
        </is>
      </c>
      <c r="D229" s="1" t="n">
        <v>44809</v>
      </c>
      <c r="E229" s="1" t="n">
        <v>46223</v>
      </c>
      <c r="F229" t="inlineStr">
        <is>
          <t>ÖSTERGÖTLANDS LÄN</t>
        </is>
      </c>
      <c r="G229" t="inlineStr">
        <is>
          <t>BOXHOLM</t>
        </is>
      </c>
      <c r="I229" t="n">
        <v>2.4</v>
      </c>
      <c r="J229" t="n">
        <v>0</v>
      </c>
      <c r="K229" t="n">
        <v>0</v>
      </c>
      <c r="L229" t="n">
        <v>0</v>
      </c>
      <c r="M229" t="n">
        <v>0</v>
      </c>
      <c r="N229" t="n">
        <v>0</v>
      </c>
      <c r="O229" t="n">
        <v>0</v>
      </c>
      <c r="P229" t="n">
        <v>0</v>
      </c>
      <c r="Q229" t="n">
        <v>0</v>
      </c>
      <c r="R229" t="n">
        <v>0</v>
      </c>
      <c r="S229" t="n">
        <v>0</v>
      </c>
      <c r="T229" t="n">
        <v>0</v>
      </c>
      <c r="U229" s="2" t="inlineStr"/>
    </row>
    <row r="230" ht="15" customHeight="1">
      <c r="A230" t="inlineStr">
        <is>
          <t>A 46237-2024</t>
        </is>
      </c>
      <c r="B230" t="inlineStr">
        <is>
          <t>avverkningsanmälan</t>
        </is>
      </c>
      <c r="C230" t="inlineStr">
        <is>
          <t>Föryngringsavverkning</t>
        </is>
      </c>
      <c r="D230" s="1" t="n">
        <v>45581</v>
      </c>
      <c r="E230" s="1" t="n">
        <v>46223</v>
      </c>
      <c r="F230" t="inlineStr">
        <is>
          <t>ÖSTERGÖTLANDS LÄN</t>
        </is>
      </c>
      <c r="G230" t="inlineStr">
        <is>
          <t>BOXHOLM</t>
        </is>
      </c>
      <c r="I230" t="n">
        <v>6.2</v>
      </c>
      <c r="J230" t="n">
        <v>0</v>
      </c>
      <c r="K230" t="n">
        <v>0</v>
      </c>
      <c r="L230" t="n">
        <v>0</v>
      </c>
      <c r="M230" t="n">
        <v>0</v>
      </c>
      <c r="N230" t="n">
        <v>0</v>
      </c>
      <c r="O230" t="n">
        <v>0</v>
      </c>
      <c r="P230" t="n">
        <v>0</v>
      </c>
      <c r="Q230" t="n">
        <v>0</v>
      </c>
      <c r="R230" t="n">
        <v>0</v>
      </c>
      <c r="S230" t="n">
        <v>0</v>
      </c>
      <c r="T230" t="n">
        <v>0</v>
      </c>
      <c r="U230" s="2" t="inlineStr"/>
    </row>
    <row r="231" ht="15" customHeight="1">
      <c r="A231" t="inlineStr">
        <is>
          <t>A 44896-2023</t>
        </is>
      </c>
      <c r="B231" t="inlineStr">
        <is>
          <t>avverkningsanmälan</t>
        </is>
      </c>
      <c r="C231" t="inlineStr">
        <is>
          <t>Föryngringsavverkning</t>
        </is>
      </c>
      <c r="D231" s="1" t="n">
        <v>45190</v>
      </c>
      <c r="E231" s="1" t="n">
        <v>46223</v>
      </c>
      <c r="F231" t="inlineStr">
        <is>
          <t>ÖSTERGÖTLANDS LÄN</t>
        </is>
      </c>
      <c r="G231" t="inlineStr">
        <is>
          <t>BOXHOLM</t>
        </is>
      </c>
      <c r="H231" t="inlineStr">
        <is>
          <t>Allmännings- och besparingsskogar</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36331-2022</t>
        </is>
      </c>
      <c r="B232" t="inlineStr">
        <is>
          <t>avverkningsanmälan</t>
        </is>
      </c>
      <c r="C232" t="inlineStr">
        <is>
          <t>Föryngringsavverkning</t>
        </is>
      </c>
      <c r="D232" s="1" t="n">
        <v>44803</v>
      </c>
      <c r="E232" s="1" t="n">
        <v>46223</v>
      </c>
      <c r="F232" t="inlineStr">
        <is>
          <t>ÖSTERGÖTLANDS LÄN</t>
        </is>
      </c>
      <c r="G232" t="inlineStr">
        <is>
          <t>BOXHOLM</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39035-2023</t>
        </is>
      </c>
      <c r="B233" t="inlineStr">
        <is>
          <t>avverkningsanmälan</t>
        </is>
      </c>
      <c r="C233" t="inlineStr">
        <is>
          <t>Föryngringsavverkning</t>
        </is>
      </c>
      <c r="D233" s="1" t="n">
        <v>45163</v>
      </c>
      <c r="E233" s="1" t="n">
        <v>46223</v>
      </c>
      <c r="F233" t="inlineStr">
        <is>
          <t>ÖSTERGÖTLANDS LÄN</t>
        </is>
      </c>
      <c r="G233" t="inlineStr">
        <is>
          <t>BOXHOLM</t>
        </is>
      </c>
      <c r="H233" t="inlineStr">
        <is>
          <t>Allmännings- och besparingsskogar</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21436-2025</t>
        </is>
      </c>
      <c r="B234" t="inlineStr">
        <is>
          <t>avverkningsanmälan</t>
        </is>
      </c>
      <c r="C234" t="inlineStr">
        <is>
          <t>Föryngringsavverkning</t>
        </is>
      </c>
      <c r="D234" s="1" t="n">
        <v>45782</v>
      </c>
      <c r="E234" s="1" t="n">
        <v>46223</v>
      </c>
      <c r="F234" t="inlineStr">
        <is>
          <t>ÖSTERGÖTLANDS LÄN</t>
        </is>
      </c>
      <c r="G234" t="inlineStr">
        <is>
          <t>BOXHOLM</t>
        </is>
      </c>
      <c r="I234" t="n">
        <v>4.1</v>
      </c>
      <c r="J234" t="n">
        <v>0</v>
      </c>
      <c r="K234" t="n">
        <v>0</v>
      </c>
      <c r="L234" t="n">
        <v>0</v>
      </c>
      <c r="M234" t="n">
        <v>0</v>
      </c>
      <c r="N234" t="n">
        <v>0</v>
      </c>
      <c r="O234" t="n">
        <v>0</v>
      </c>
      <c r="P234" t="n">
        <v>0</v>
      </c>
      <c r="Q234" t="n">
        <v>0</v>
      </c>
      <c r="R234" t="n">
        <v>0</v>
      </c>
      <c r="S234" t="n">
        <v>0</v>
      </c>
      <c r="T234" t="n">
        <v>0</v>
      </c>
      <c r="U234" s="2" t="inlineStr"/>
    </row>
    <row r="235" ht="15" customHeight="1">
      <c r="A235" t="inlineStr">
        <is>
          <t>A 14946-2022</t>
        </is>
      </c>
      <c r="B235" t="inlineStr">
        <is>
          <t>avverkningsanmälan</t>
        </is>
      </c>
      <c r="C235" t="inlineStr">
        <is>
          <t>Föryngringsavverkning</t>
        </is>
      </c>
      <c r="D235" s="1" t="n">
        <v>44657</v>
      </c>
      <c r="E235" s="1" t="n">
        <v>46223</v>
      </c>
      <c r="F235" t="inlineStr">
        <is>
          <t>ÖSTERGÖTLANDS LÄN</t>
        </is>
      </c>
      <c r="G235" t="inlineStr">
        <is>
          <t>BOXHOLM</t>
        </is>
      </c>
      <c r="I235" t="n">
        <v>0.8</v>
      </c>
      <c r="J235" t="n">
        <v>0</v>
      </c>
      <c r="K235" t="n">
        <v>0</v>
      </c>
      <c r="L235" t="n">
        <v>0</v>
      </c>
      <c r="M235" t="n">
        <v>0</v>
      </c>
      <c r="N235" t="n">
        <v>0</v>
      </c>
      <c r="O235" t="n">
        <v>0</v>
      </c>
      <c r="P235" t="n">
        <v>0</v>
      </c>
      <c r="Q235" t="n">
        <v>0</v>
      </c>
      <c r="R235" t="n">
        <v>0</v>
      </c>
      <c r="S235" t="n">
        <v>0</v>
      </c>
      <c r="T235" t="n">
        <v>0</v>
      </c>
      <c r="U235" s="2" t="inlineStr"/>
    </row>
    <row r="236" ht="15" customHeight="1">
      <c r="A236" t="inlineStr">
        <is>
          <t>A 19129-2025</t>
        </is>
      </c>
      <c r="B236" t="inlineStr">
        <is>
          <t>avverkningsanmälan</t>
        </is>
      </c>
      <c r="C236" t="inlineStr">
        <is>
          <t>Föryngringsavverkning</t>
        </is>
      </c>
      <c r="D236" s="1" t="n">
        <v>45769</v>
      </c>
      <c r="E236" s="1" t="n">
        <v>46223</v>
      </c>
      <c r="F236" t="inlineStr">
        <is>
          <t>ÖSTERGÖTLANDS LÄN</t>
        </is>
      </c>
      <c r="G236" t="inlineStr">
        <is>
          <t>BOXHOLM</t>
        </is>
      </c>
      <c r="H236" t="inlineStr">
        <is>
          <t>Övriga Aktiebolag</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50026-2025</t>
        </is>
      </c>
      <c r="B237" t="inlineStr">
        <is>
          <t>avverkningsanmälan</t>
        </is>
      </c>
      <c r="C237" t="inlineStr">
        <is>
          <t>Avverkning för att bevara och utveckla /försöksver</t>
        </is>
      </c>
      <c r="D237" s="1" t="n">
        <v>45943</v>
      </c>
      <c r="E237" s="1" t="n">
        <v>46223</v>
      </c>
      <c r="F237" t="inlineStr">
        <is>
          <t>ÖSTERGÖTLANDS LÄN</t>
        </is>
      </c>
      <c r="G237" t="inlineStr">
        <is>
          <t>BOXHOLM</t>
        </is>
      </c>
      <c r="H237" t="inlineStr">
        <is>
          <t>Övriga Aktiebolag</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34839-2023</t>
        </is>
      </c>
      <c r="B238" t="inlineStr">
        <is>
          <t>avverkningsanmälan</t>
        </is>
      </c>
      <c r="C238" t="inlineStr">
        <is>
          <t>Föryngringsavverkning</t>
        </is>
      </c>
      <c r="D238" s="1" t="n">
        <v>45141</v>
      </c>
      <c r="E238" s="1" t="n">
        <v>46223</v>
      </c>
      <c r="F238" t="inlineStr">
        <is>
          <t>ÖSTERGÖTLANDS LÄN</t>
        </is>
      </c>
      <c r="G238" t="inlineStr">
        <is>
          <t>BOXHOLM</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40308-2022</t>
        </is>
      </c>
      <c r="B239" t="inlineStr">
        <is>
          <t>avverkningsanmälan</t>
        </is>
      </c>
      <c r="C239" t="inlineStr">
        <is>
          <t>Föryngringsavverkning</t>
        </is>
      </c>
      <c r="D239" s="1" t="n">
        <v>44822</v>
      </c>
      <c r="E239" s="1" t="n">
        <v>46223</v>
      </c>
      <c r="F239" t="inlineStr">
        <is>
          <t>ÖSTERGÖTLANDS LÄN</t>
        </is>
      </c>
      <c r="G239" t="inlineStr">
        <is>
          <t>BOXHOLM</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58738-2025</t>
        </is>
      </c>
      <c r="B240" t="inlineStr">
        <is>
          <t>avverkningsanmälan</t>
        </is>
      </c>
      <c r="C240" t="inlineStr">
        <is>
          <t>Föryngringsavverkning</t>
        </is>
      </c>
      <c r="D240" s="1" t="n">
        <v>45986</v>
      </c>
      <c r="E240" s="1" t="n">
        <v>46223</v>
      </c>
      <c r="F240" t="inlineStr">
        <is>
          <t>ÖSTERGÖTLANDS LÄN</t>
        </is>
      </c>
      <c r="G240" t="inlineStr">
        <is>
          <t>BOXHOLM</t>
        </is>
      </c>
      <c r="H240" t="inlineStr">
        <is>
          <t>Allmännings- och besparingsskogar</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957-2024</t>
        </is>
      </c>
      <c r="B241" t="inlineStr">
        <is>
          <t>avverkningsanmälan</t>
        </is>
      </c>
      <c r="C241" t="inlineStr">
        <is>
          <t>Föryngringsavverkning</t>
        </is>
      </c>
      <c r="D241" s="1" t="n">
        <v>45301</v>
      </c>
      <c r="E241" s="1" t="n">
        <v>46223</v>
      </c>
      <c r="F241" t="inlineStr">
        <is>
          <t>ÖSTERGÖTLANDS LÄN</t>
        </is>
      </c>
      <c r="G241" t="inlineStr">
        <is>
          <t>BOXHOLM</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6239-2025</t>
        </is>
      </c>
      <c r="B242" t="inlineStr">
        <is>
          <t>avverkningsanmälan</t>
        </is>
      </c>
      <c r="C242" t="inlineStr">
        <is>
          <t>Föryngringsavverkning</t>
        </is>
      </c>
      <c r="D242" s="1" t="n">
        <v>45698</v>
      </c>
      <c r="E242" s="1" t="n">
        <v>46223</v>
      </c>
      <c r="F242" t="inlineStr">
        <is>
          <t>ÖSTERGÖTLANDS LÄN</t>
        </is>
      </c>
      <c r="G242" t="inlineStr">
        <is>
          <t>BOXHOLM</t>
        </is>
      </c>
      <c r="H242" t="inlineStr">
        <is>
          <t>Övriga Aktiebolag</t>
        </is>
      </c>
      <c r="I242" t="n">
        <v>3.7</v>
      </c>
      <c r="J242" t="n">
        <v>0</v>
      </c>
      <c r="K242" t="n">
        <v>0</v>
      </c>
      <c r="L242" t="n">
        <v>0</v>
      </c>
      <c r="M242" t="n">
        <v>0</v>
      </c>
      <c r="N242" t="n">
        <v>0</v>
      </c>
      <c r="O242" t="n">
        <v>0</v>
      </c>
      <c r="P242" t="n">
        <v>0</v>
      </c>
      <c r="Q242" t="n">
        <v>0</v>
      </c>
      <c r="R242" t="n">
        <v>0</v>
      </c>
      <c r="S242" t="n">
        <v>0</v>
      </c>
      <c r="T242" t="n">
        <v>0</v>
      </c>
      <c r="U242" s="2" t="inlineStr"/>
    </row>
    <row r="243" ht="15" customHeight="1">
      <c r="A243" t="inlineStr">
        <is>
          <t>A 37405-2023</t>
        </is>
      </c>
      <c r="B243" t="inlineStr">
        <is>
          <t>avverkningsanmälan</t>
        </is>
      </c>
      <c r="C243" t="inlineStr">
        <is>
          <t>Föryngringsavverkning</t>
        </is>
      </c>
      <c r="D243" s="1" t="n">
        <v>45156</v>
      </c>
      <c r="E243" s="1" t="n">
        <v>46223</v>
      </c>
      <c r="F243" t="inlineStr">
        <is>
          <t>ÖSTERGÖTLANDS LÄN</t>
        </is>
      </c>
      <c r="G243" t="inlineStr">
        <is>
          <t>BOXHOLM</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24859-2022</t>
        </is>
      </c>
      <c r="B244" t="inlineStr">
        <is>
          <t>avverkningsanmälan</t>
        </is>
      </c>
      <c r="C244" t="inlineStr">
        <is>
          <t>Föryngringsavverkning</t>
        </is>
      </c>
      <c r="D244" s="1" t="n">
        <v>44728</v>
      </c>
      <c r="E244" s="1" t="n">
        <v>46223</v>
      </c>
      <c r="F244" t="inlineStr">
        <is>
          <t>ÖSTERGÖTLANDS LÄN</t>
        </is>
      </c>
      <c r="G244" t="inlineStr">
        <is>
          <t>BOXHOLM</t>
        </is>
      </c>
      <c r="H244" t="inlineStr">
        <is>
          <t>Övriga Aktiebolag</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13993-2022</t>
        </is>
      </c>
      <c r="B245" t="inlineStr">
        <is>
          <t>avverkningsanmälan</t>
        </is>
      </c>
      <c r="C245" t="inlineStr">
        <is>
          <t>Föryngringsavverkning</t>
        </is>
      </c>
      <c r="D245" s="1" t="n">
        <v>44650</v>
      </c>
      <c r="E245" s="1" t="n">
        <v>46223</v>
      </c>
      <c r="F245" t="inlineStr">
        <is>
          <t>ÖSTERGÖTLANDS LÄN</t>
        </is>
      </c>
      <c r="G245" t="inlineStr">
        <is>
          <t>BOXHOLM</t>
        </is>
      </c>
      <c r="I245" t="n">
        <v>2.5</v>
      </c>
      <c r="J245" t="n">
        <v>0</v>
      </c>
      <c r="K245" t="n">
        <v>0</v>
      </c>
      <c r="L245" t="n">
        <v>0</v>
      </c>
      <c r="M245" t="n">
        <v>0</v>
      </c>
      <c r="N245" t="n">
        <v>0</v>
      </c>
      <c r="O245" t="n">
        <v>0</v>
      </c>
      <c r="P245" t="n">
        <v>0</v>
      </c>
      <c r="Q245" t="n">
        <v>0</v>
      </c>
      <c r="R245" t="n">
        <v>0</v>
      </c>
      <c r="S245" t="n">
        <v>0</v>
      </c>
      <c r="T245" t="n">
        <v>0</v>
      </c>
      <c r="U245" s="2" t="inlineStr"/>
    </row>
    <row r="246" ht="15" customHeight="1">
      <c r="A246" t="inlineStr">
        <is>
          <t>A 24508-2024</t>
        </is>
      </c>
      <c r="B246" t="inlineStr">
        <is>
          <t>avverkningsanmälan</t>
        </is>
      </c>
      <c r="C246" t="inlineStr">
        <is>
          <t>Föryngringsavverkning</t>
        </is>
      </c>
      <c r="D246" s="1" t="n">
        <v>45460</v>
      </c>
      <c r="E246" s="1" t="n">
        <v>46223</v>
      </c>
      <c r="F246" t="inlineStr">
        <is>
          <t>ÖSTERGÖTLANDS LÄN</t>
        </is>
      </c>
      <c r="G246" t="inlineStr">
        <is>
          <t>BOXHOLM</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43824-2023</t>
        </is>
      </c>
      <c r="B247" t="inlineStr">
        <is>
          <t>avverkningsanmälan</t>
        </is>
      </c>
      <c r="C247" t="inlineStr">
        <is>
          <t>Föryngringsavverkning</t>
        </is>
      </c>
      <c r="D247" s="1" t="n">
        <v>45187</v>
      </c>
      <c r="E247" s="1" t="n">
        <v>46223</v>
      </c>
      <c r="F247" t="inlineStr">
        <is>
          <t>ÖSTERGÖTLANDS LÄN</t>
        </is>
      </c>
      <c r="G247" t="inlineStr">
        <is>
          <t>BOXHOLM</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21151-2023</t>
        </is>
      </c>
      <c r="B248" t="inlineStr">
        <is>
          <t>avverkningsanmälan</t>
        </is>
      </c>
      <c r="C248" t="inlineStr">
        <is>
          <t>Föryngringsavverkning</t>
        </is>
      </c>
      <c r="D248" s="1" t="n">
        <v>45062</v>
      </c>
      <c r="E248" s="1" t="n">
        <v>46223</v>
      </c>
      <c r="F248" t="inlineStr">
        <is>
          <t>ÖSTERGÖTLANDS LÄN</t>
        </is>
      </c>
      <c r="G248" t="inlineStr">
        <is>
          <t>BOXHOLM</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51708-2023</t>
        </is>
      </c>
      <c r="B249" t="inlineStr">
        <is>
          <t>avverkningsanmälan</t>
        </is>
      </c>
      <c r="C249" t="inlineStr">
        <is>
          <t>Föryngringsavverkning</t>
        </is>
      </c>
      <c r="D249" s="1" t="n">
        <v>45222</v>
      </c>
      <c r="E249" s="1" t="n">
        <v>46223</v>
      </c>
      <c r="F249" t="inlineStr">
        <is>
          <t>ÖSTERGÖTLANDS LÄN</t>
        </is>
      </c>
      <c r="G249" t="inlineStr">
        <is>
          <t>BOXHOLM</t>
        </is>
      </c>
      <c r="H249" t="inlineStr">
        <is>
          <t>Allmännings- och besparingsskogar</t>
        </is>
      </c>
      <c r="I249" t="n">
        <v>24.2</v>
      </c>
      <c r="J249" t="n">
        <v>0</v>
      </c>
      <c r="K249" t="n">
        <v>0</v>
      </c>
      <c r="L249" t="n">
        <v>0</v>
      </c>
      <c r="M249" t="n">
        <v>0</v>
      </c>
      <c r="N249" t="n">
        <v>0</v>
      </c>
      <c r="O249" t="n">
        <v>0</v>
      </c>
      <c r="P249" t="n">
        <v>0</v>
      </c>
      <c r="Q249" t="n">
        <v>0</v>
      </c>
      <c r="R249" t="n">
        <v>0</v>
      </c>
      <c r="S249" t="n">
        <v>0</v>
      </c>
      <c r="T249" t="n">
        <v>0</v>
      </c>
      <c r="U249" s="2" t="inlineStr"/>
    </row>
    <row r="250" ht="15" customHeight="1">
      <c r="A250" t="inlineStr">
        <is>
          <t>A 10315-2025</t>
        </is>
      </c>
      <c r="B250" t="inlineStr">
        <is>
          <t>avverkningsanmälan</t>
        </is>
      </c>
      <c r="C250" t="inlineStr">
        <is>
          <t>Föryngringsavverkning</t>
        </is>
      </c>
      <c r="D250" s="1" t="n">
        <v>45720</v>
      </c>
      <c r="E250" s="1" t="n">
        <v>46223</v>
      </c>
      <c r="F250" t="inlineStr">
        <is>
          <t>ÖSTERGÖTLANDS LÄN</t>
        </is>
      </c>
      <c r="G250" t="inlineStr">
        <is>
          <t>BOXHOLM</t>
        </is>
      </c>
      <c r="I250" t="n">
        <v>2.7</v>
      </c>
      <c r="J250" t="n">
        <v>0</v>
      </c>
      <c r="K250" t="n">
        <v>0</v>
      </c>
      <c r="L250" t="n">
        <v>0</v>
      </c>
      <c r="M250" t="n">
        <v>0</v>
      </c>
      <c r="N250" t="n">
        <v>0</v>
      </c>
      <c r="O250" t="n">
        <v>0</v>
      </c>
      <c r="P250" t="n">
        <v>0</v>
      </c>
      <c r="Q250" t="n">
        <v>0</v>
      </c>
      <c r="R250" t="n">
        <v>0</v>
      </c>
      <c r="S250" t="n">
        <v>0</v>
      </c>
      <c r="T250" t="n">
        <v>0</v>
      </c>
      <c r="U250" s="2" t="inlineStr"/>
    </row>
    <row r="251" ht="15" customHeight="1">
      <c r="A251" t="inlineStr">
        <is>
          <t>A 21119-2026</t>
        </is>
      </c>
      <c r="B251" t="inlineStr">
        <is>
          <t>avverkningsanmälan</t>
        </is>
      </c>
      <c r="C251" t="inlineStr">
        <is>
          <t>Föryngringsavverkning</t>
        </is>
      </c>
      <c r="D251" s="1" t="n">
        <v>46146</v>
      </c>
      <c r="E251" s="1" t="n">
        <v>46223</v>
      </c>
      <c r="F251" t="inlineStr">
        <is>
          <t>ÖSTERGÖTLANDS LÄN</t>
        </is>
      </c>
      <c r="G251" t="inlineStr">
        <is>
          <t>BOXHOLM</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3569-2024</t>
        </is>
      </c>
      <c r="B252" t="inlineStr">
        <is>
          <t>avverkningsanmälan</t>
        </is>
      </c>
      <c r="C252" t="inlineStr">
        <is>
          <t>Föryngringsavverkning</t>
        </is>
      </c>
      <c r="D252" s="1" t="n">
        <v>45320</v>
      </c>
      <c r="E252" s="1" t="n">
        <v>46223</v>
      </c>
      <c r="F252" t="inlineStr">
        <is>
          <t>ÖSTERGÖTLANDS LÄN</t>
        </is>
      </c>
      <c r="G252" t="inlineStr">
        <is>
          <t>BOXHOLM</t>
        </is>
      </c>
      <c r="H252" t="inlineStr">
        <is>
          <t>Övriga Aktiebolag</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4415-2024</t>
        </is>
      </c>
      <c r="B253" t="inlineStr">
        <is>
          <t>avverkningsanmälan</t>
        </is>
      </c>
      <c r="C253" t="inlineStr">
        <is>
          <t>Föryngringsavverkning</t>
        </is>
      </c>
      <c r="D253" s="1" t="n">
        <v>45327</v>
      </c>
      <c r="E253" s="1" t="n">
        <v>46223</v>
      </c>
      <c r="F253" t="inlineStr">
        <is>
          <t>ÖSTERGÖTLANDS LÄN</t>
        </is>
      </c>
      <c r="G253" t="inlineStr">
        <is>
          <t>BOXHOLM</t>
        </is>
      </c>
      <c r="H253" t="inlineStr">
        <is>
          <t>Allmännings- och besparingsskogar</t>
        </is>
      </c>
      <c r="I253" t="n">
        <v>6.4</v>
      </c>
      <c r="J253" t="n">
        <v>0</v>
      </c>
      <c r="K253" t="n">
        <v>0</v>
      </c>
      <c r="L253" t="n">
        <v>0</v>
      </c>
      <c r="M253" t="n">
        <v>0</v>
      </c>
      <c r="N253" t="n">
        <v>0</v>
      </c>
      <c r="O253" t="n">
        <v>0</v>
      </c>
      <c r="P253" t="n">
        <v>0</v>
      </c>
      <c r="Q253" t="n">
        <v>0</v>
      </c>
      <c r="R253" t="n">
        <v>0</v>
      </c>
      <c r="S253" t="n">
        <v>0</v>
      </c>
      <c r="T253" t="n">
        <v>0</v>
      </c>
      <c r="U253" s="2" t="inlineStr"/>
    </row>
    <row r="254" ht="15" customHeight="1">
      <c r="A254" t="inlineStr">
        <is>
          <t>A 17728-2025</t>
        </is>
      </c>
      <c r="B254" t="inlineStr">
        <is>
          <t>avverkningsanmälan</t>
        </is>
      </c>
      <c r="C254" t="inlineStr">
        <is>
          <t>Föryngringsavverkning</t>
        </is>
      </c>
      <c r="D254" s="1" t="n">
        <v>45758</v>
      </c>
      <c r="E254" s="1" t="n">
        <v>46223</v>
      </c>
      <c r="F254" t="inlineStr">
        <is>
          <t>ÖSTERGÖTLANDS LÄN</t>
        </is>
      </c>
      <c r="G254" t="inlineStr">
        <is>
          <t>BOXHOLM</t>
        </is>
      </c>
      <c r="H254" t="inlineStr">
        <is>
          <t>Övriga Aktiebolag</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27485-2026</t>
        </is>
      </c>
      <c r="B255" t="inlineStr">
        <is>
          <t>avverkningsanmälan</t>
        </is>
      </c>
      <c r="C255" t="inlineStr">
        <is>
          <t>Avverkning för att bevara och utveckla /försöksver</t>
        </is>
      </c>
      <c r="D255" s="1" t="n">
        <v>46189</v>
      </c>
      <c r="E255" s="1" t="n">
        <v>46223</v>
      </c>
      <c r="F255" t="inlineStr">
        <is>
          <t>ÖSTERGÖTLANDS LÄN</t>
        </is>
      </c>
      <c r="G255" t="inlineStr">
        <is>
          <t>BOXHOLM</t>
        </is>
      </c>
      <c r="H255" t="inlineStr">
        <is>
          <t>Övriga Aktiebolag</t>
        </is>
      </c>
      <c r="I255" t="n">
        <v>4.7</v>
      </c>
      <c r="J255" t="n">
        <v>0</v>
      </c>
      <c r="K255" t="n">
        <v>0</v>
      </c>
      <c r="L255" t="n">
        <v>0</v>
      </c>
      <c r="M255" t="n">
        <v>0</v>
      </c>
      <c r="N255" t="n">
        <v>0</v>
      </c>
      <c r="O255" t="n">
        <v>0</v>
      </c>
      <c r="P255" t="n">
        <v>0</v>
      </c>
      <c r="Q255" t="n">
        <v>0</v>
      </c>
      <c r="R255" t="n">
        <v>0</v>
      </c>
      <c r="S255" t="n">
        <v>0</v>
      </c>
      <c r="T255" t="n">
        <v>0</v>
      </c>
      <c r="U255" s="2" t="inlineStr"/>
    </row>
    <row r="256" ht="15" customHeight="1">
      <c r="A256" t="inlineStr">
        <is>
          <t>A 931-2024</t>
        </is>
      </c>
      <c r="B256" t="inlineStr">
        <is>
          <t>avverkningsanmälan</t>
        </is>
      </c>
      <c r="C256" t="inlineStr">
        <is>
          <t>Föryngringsavverkning</t>
        </is>
      </c>
      <c r="D256" s="1" t="n">
        <v>45301</v>
      </c>
      <c r="E256" s="1" t="n">
        <v>46223</v>
      </c>
      <c r="F256" t="inlineStr">
        <is>
          <t>ÖSTERGÖTLANDS LÄN</t>
        </is>
      </c>
      <c r="G256" t="inlineStr">
        <is>
          <t>BOXHOLM</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10152-2024</t>
        </is>
      </c>
      <c r="B257" t="inlineStr">
        <is>
          <t>avverkningsanmälan</t>
        </is>
      </c>
      <c r="C257" t="inlineStr">
        <is>
          <t>Föryngringsavverkning</t>
        </is>
      </c>
      <c r="D257" s="1" t="n">
        <v>45364</v>
      </c>
      <c r="E257" s="1" t="n">
        <v>46223</v>
      </c>
      <c r="F257" t="inlineStr">
        <is>
          <t>ÖSTERGÖTLANDS LÄN</t>
        </is>
      </c>
      <c r="G257" t="inlineStr">
        <is>
          <t>BOXHOLM</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42383-2022</t>
        </is>
      </c>
      <c r="B258" t="inlineStr">
        <is>
          <t>avverkningsanmälan</t>
        </is>
      </c>
      <c r="C258" t="inlineStr">
        <is>
          <t>Föryngringsavverkning</t>
        </is>
      </c>
      <c r="D258" s="1" t="n">
        <v>44831</v>
      </c>
      <c r="E258" s="1" t="n">
        <v>46223</v>
      </c>
      <c r="F258" t="inlineStr">
        <is>
          <t>ÖSTERGÖTLANDS LÄN</t>
        </is>
      </c>
      <c r="G258" t="inlineStr">
        <is>
          <t>BOXHOLM</t>
        </is>
      </c>
      <c r="H258" t="inlineStr">
        <is>
          <t>Övriga Aktiebolag</t>
        </is>
      </c>
      <c r="I258" t="n">
        <v>3.1</v>
      </c>
      <c r="J258" t="n">
        <v>0</v>
      </c>
      <c r="K258" t="n">
        <v>0</v>
      </c>
      <c r="L258" t="n">
        <v>0</v>
      </c>
      <c r="M258" t="n">
        <v>0</v>
      </c>
      <c r="N258" t="n">
        <v>0</v>
      </c>
      <c r="O258" t="n">
        <v>0</v>
      </c>
      <c r="P258" t="n">
        <v>0</v>
      </c>
      <c r="Q258" t="n">
        <v>0</v>
      </c>
      <c r="R258" t="n">
        <v>0</v>
      </c>
      <c r="S258" t="n">
        <v>0</v>
      </c>
      <c r="T258" t="n">
        <v>0</v>
      </c>
      <c r="U258" s="2" t="inlineStr"/>
    </row>
    <row r="259" ht="15" customHeight="1">
      <c r="A259" t="inlineStr">
        <is>
          <t>A 12734-2025</t>
        </is>
      </c>
      <c r="B259" t="inlineStr">
        <is>
          <t>avverkningsanmälan</t>
        </is>
      </c>
      <c r="C259" t="inlineStr">
        <is>
          <t>Föryngringsavverkning</t>
        </is>
      </c>
      <c r="D259" s="1" t="n">
        <v>45733</v>
      </c>
      <c r="E259" s="1" t="n">
        <v>46223</v>
      </c>
      <c r="F259" t="inlineStr">
        <is>
          <t>ÖSTERGÖTLANDS LÄN</t>
        </is>
      </c>
      <c r="G259" t="inlineStr">
        <is>
          <t>BOXHOLM</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21969-2026</t>
        </is>
      </c>
      <c r="B260" t="inlineStr">
        <is>
          <t>avverkningsanmälan</t>
        </is>
      </c>
      <c r="C260" t="inlineStr">
        <is>
          <t>Föryngringsavverkning</t>
        </is>
      </c>
      <c r="D260" s="1" t="n">
        <v>46152</v>
      </c>
      <c r="E260" s="1" t="n">
        <v>46223</v>
      </c>
      <c r="F260" t="inlineStr">
        <is>
          <t>ÖSTERGÖTLANDS LÄN</t>
        </is>
      </c>
      <c r="G260" t="inlineStr">
        <is>
          <t>BOXHOLM</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28233-2026</t>
        </is>
      </c>
      <c r="B261" t="inlineStr">
        <is>
          <t>avverkningsanmälan</t>
        </is>
      </c>
      <c r="C261" t="inlineStr">
        <is>
          <t>Föryngringsavverkning</t>
        </is>
      </c>
      <c r="D261" s="1" t="n">
        <v>46196</v>
      </c>
      <c r="E261" s="1" t="n">
        <v>46223</v>
      </c>
      <c r="F261" t="inlineStr">
        <is>
          <t>ÖSTERGÖTLANDS LÄN</t>
        </is>
      </c>
      <c r="G261" t="inlineStr">
        <is>
          <t>BOXHOLM</t>
        </is>
      </c>
      <c r="H261" t="inlineStr">
        <is>
          <t>Övriga Aktiebolag</t>
        </is>
      </c>
      <c r="I261" t="n">
        <v>3.1</v>
      </c>
      <c r="J261" t="n">
        <v>0</v>
      </c>
      <c r="K261" t="n">
        <v>0</v>
      </c>
      <c r="L261" t="n">
        <v>0</v>
      </c>
      <c r="M261" t="n">
        <v>0</v>
      </c>
      <c r="N261" t="n">
        <v>0</v>
      </c>
      <c r="O261" t="n">
        <v>0</v>
      </c>
      <c r="P261" t="n">
        <v>0</v>
      </c>
      <c r="Q261" t="n">
        <v>0</v>
      </c>
      <c r="R261" t="n">
        <v>0</v>
      </c>
      <c r="S261" t="n">
        <v>0</v>
      </c>
      <c r="T261" t="n">
        <v>0</v>
      </c>
      <c r="U261" s="2" t="inlineStr"/>
    </row>
    <row r="262" ht="15" customHeight="1">
      <c r="A262" t="inlineStr">
        <is>
          <t>A 25127-2024</t>
        </is>
      </c>
      <c r="B262" t="inlineStr">
        <is>
          <t>avverkningsanmälan</t>
        </is>
      </c>
      <c r="C262" t="inlineStr">
        <is>
          <t>Avverkning för att bevara och utveckla /försöksver</t>
        </is>
      </c>
      <c r="D262" s="1" t="n">
        <v>45462</v>
      </c>
      <c r="E262" s="1" t="n">
        <v>46223</v>
      </c>
      <c r="F262" t="inlineStr">
        <is>
          <t>ÖSTERGÖTLANDS LÄN</t>
        </is>
      </c>
      <c r="G262" t="inlineStr">
        <is>
          <t>BOXHOLM</t>
        </is>
      </c>
      <c r="H262" t="inlineStr">
        <is>
          <t>Övriga Aktiebolag</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7290-2025</t>
        </is>
      </c>
      <c r="B263" t="inlineStr">
        <is>
          <t>avverkningsanmälan</t>
        </is>
      </c>
      <c r="C263" t="inlineStr">
        <is>
          <t>Avverkning för annat ändamål</t>
        </is>
      </c>
      <c r="D263" s="1" t="n">
        <v>45702</v>
      </c>
      <c r="E263" s="1" t="n">
        <v>46223</v>
      </c>
      <c r="F263" t="inlineStr">
        <is>
          <t>ÖSTERGÖTLANDS LÄN</t>
        </is>
      </c>
      <c r="G263" t="inlineStr">
        <is>
          <t>BOXHOLM</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9059-2023</t>
        </is>
      </c>
      <c r="B264" t="inlineStr">
        <is>
          <t>avverkningsanmälan</t>
        </is>
      </c>
      <c r="C264" t="inlineStr">
        <is>
          <t>Föryngringsavverkning</t>
        </is>
      </c>
      <c r="D264" s="1" t="n">
        <v>44979</v>
      </c>
      <c r="E264" s="1" t="n">
        <v>46223</v>
      </c>
      <c r="F264" t="inlineStr">
        <is>
          <t>ÖSTERGÖTLANDS LÄN</t>
        </is>
      </c>
      <c r="G264" t="inlineStr">
        <is>
          <t>BOXHOLM</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24122-2023</t>
        </is>
      </c>
      <c r="B265" t="inlineStr">
        <is>
          <t>avverkningsanmälan</t>
        </is>
      </c>
      <c r="C265" t="inlineStr">
        <is>
          <t>Föryngringsavverkning</t>
        </is>
      </c>
      <c r="D265" s="1" t="n">
        <v>45079</v>
      </c>
      <c r="E265" s="1" t="n">
        <v>46223</v>
      </c>
      <c r="F265" t="inlineStr">
        <is>
          <t>ÖSTERGÖTLANDS LÄN</t>
        </is>
      </c>
      <c r="G265" t="inlineStr">
        <is>
          <t>BOXHOLM</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21635-2023</t>
        </is>
      </c>
      <c r="B266" t="inlineStr">
        <is>
          <t>avverkningsanmälan</t>
        </is>
      </c>
      <c r="C266" t="inlineStr">
        <is>
          <t>Föryngringsavverkning</t>
        </is>
      </c>
      <c r="D266" s="1" t="n">
        <v>45062</v>
      </c>
      <c r="E266" s="1" t="n">
        <v>46223</v>
      </c>
      <c r="F266" t="inlineStr">
        <is>
          <t>ÖSTERGÖTLANDS LÄN</t>
        </is>
      </c>
      <c r="G266" t="inlineStr">
        <is>
          <t>BOXHOLM</t>
        </is>
      </c>
      <c r="I266" t="n">
        <v>6</v>
      </c>
      <c r="J266" t="n">
        <v>0</v>
      </c>
      <c r="K266" t="n">
        <v>0</v>
      </c>
      <c r="L266" t="n">
        <v>0</v>
      </c>
      <c r="M266" t="n">
        <v>0</v>
      </c>
      <c r="N266" t="n">
        <v>0</v>
      </c>
      <c r="O266" t="n">
        <v>0</v>
      </c>
      <c r="P266" t="n">
        <v>0</v>
      </c>
      <c r="Q266" t="n">
        <v>0</v>
      </c>
      <c r="R266" t="n">
        <v>0</v>
      </c>
      <c r="S266" t="n">
        <v>0</v>
      </c>
      <c r="T266" t="n">
        <v>0</v>
      </c>
      <c r="U266" s="2" t="inlineStr"/>
    </row>
    <row r="267" ht="15" customHeight="1">
      <c r="A267" t="inlineStr">
        <is>
          <t>A 27816-2025</t>
        </is>
      </c>
      <c r="B267" t="inlineStr">
        <is>
          <t>avverkningsanmälan</t>
        </is>
      </c>
      <c r="C267" t="inlineStr">
        <is>
          <t>Avverkning för annat ändamål</t>
        </is>
      </c>
      <c r="D267" s="1" t="n">
        <v>45817</v>
      </c>
      <c r="E267" s="1" t="n">
        <v>46223</v>
      </c>
      <c r="F267" t="inlineStr">
        <is>
          <t>ÖSTERGÖTLANDS LÄN</t>
        </is>
      </c>
      <c r="G267" t="inlineStr">
        <is>
          <t>BOXHOLM</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966-2024</t>
        </is>
      </c>
      <c r="B268" t="inlineStr">
        <is>
          <t>avverkningsanmälan</t>
        </is>
      </c>
      <c r="C268" t="inlineStr">
        <is>
          <t>Föryngringsavverkning</t>
        </is>
      </c>
      <c r="D268" s="1" t="n">
        <v>45301</v>
      </c>
      <c r="E268" s="1" t="n">
        <v>46223</v>
      </c>
      <c r="F268" t="inlineStr">
        <is>
          <t>ÖSTERGÖTLANDS LÄN</t>
        </is>
      </c>
      <c r="G268" t="inlineStr">
        <is>
          <t>BOXHOLM</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28865-2026</t>
        </is>
      </c>
      <c r="B269" t="inlineStr">
        <is>
          <t>avverkningsanmälan</t>
        </is>
      </c>
      <c r="C269" t="inlineStr">
        <is>
          <t>Föryngringsavverkning</t>
        </is>
      </c>
      <c r="D269" s="1" t="n">
        <v>46199</v>
      </c>
      <c r="E269" s="1" t="n">
        <v>46223</v>
      </c>
      <c r="F269" t="inlineStr">
        <is>
          <t>ÖSTERGÖTLANDS LÄN</t>
        </is>
      </c>
      <c r="G269" t="inlineStr">
        <is>
          <t>BOXHOLM</t>
        </is>
      </c>
      <c r="I269" t="n">
        <v>3.4</v>
      </c>
      <c r="J269" t="n">
        <v>0</v>
      </c>
      <c r="K269" t="n">
        <v>0</v>
      </c>
      <c r="L269" t="n">
        <v>0</v>
      </c>
      <c r="M269" t="n">
        <v>0</v>
      </c>
      <c r="N269" t="n">
        <v>0</v>
      </c>
      <c r="O269" t="n">
        <v>0</v>
      </c>
      <c r="P269" t="n">
        <v>0</v>
      </c>
      <c r="Q269" t="n">
        <v>0</v>
      </c>
      <c r="R269" t="n">
        <v>0</v>
      </c>
      <c r="S269" t="n">
        <v>0</v>
      </c>
      <c r="T269" t="n">
        <v>0</v>
      </c>
      <c r="U269" s="2" t="inlineStr"/>
    </row>
    <row r="270" ht="15" customHeight="1">
      <c r="A270" t="inlineStr">
        <is>
          <t>A 11850-2026</t>
        </is>
      </c>
      <c r="B270" t="inlineStr">
        <is>
          <t>avverkningsanmälan</t>
        </is>
      </c>
      <c r="C270" t="inlineStr">
        <is>
          <t>Avverkning för annat ändamål</t>
        </is>
      </c>
      <c r="D270" s="1" t="n">
        <v>46085</v>
      </c>
      <c r="E270" s="1" t="n">
        <v>46223</v>
      </c>
      <c r="F270" t="inlineStr">
        <is>
          <t>ÖSTERGÖTLANDS LÄN</t>
        </is>
      </c>
      <c r="G270" t="inlineStr">
        <is>
          <t>BOXHOLM</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47978-2023</t>
        </is>
      </c>
      <c r="B271" t="inlineStr">
        <is>
          <t>avverkningsanmälan</t>
        </is>
      </c>
      <c r="C271" t="inlineStr">
        <is>
          <t>Föryngringsavverkning</t>
        </is>
      </c>
      <c r="D271" s="1" t="n">
        <v>45204</v>
      </c>
      <c r="E271" s="1" t="n">
        <v>46223</v>
      </c>
      <c r="F271" t="inlineStr">
        <is>
          <t>ÖSTERGÖTLANDS LÄN</t>
        </is>
      </c>
      <c r="G271" t="inlineStr">
        <is>
          <t>BOXHOLM</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15526-2023</t>
        </is>
      </c>
      <c r="B272" t="inlineStr">
        <is>
          <t>avverkningsanmälan</t>
        </is>
      </c>
      <c r="C272" t="inlineStr">
        <is>
          <t>Föryngringsavverkning</t>
        </is>
      </c>
      <c r="D272" s="1" t="n">
        <v>45020</v>
      </c>
      <c r="E272" s="1" t="n">
        <v>46223</v>
      </c>
      <c r="F272" t="inlineStr">
        <is>
          <t>ÖSTERGÖTLANDS LÄN</t>
        </is>
      </c>
      <c r="G272" t="inlineStr">
        <is>
          <t>BOXHOLM</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62192-2022</t>
        </is>
      </c>
      <c r="B273" t="inlineStr">
        <is>
          <t>avverkningsanmälan</t>
        </is>
      </c>
      <c r="C273" t="inlineStr">
        <is>
          <t>Föryngringsavverkning</t>
        </is>
      </c>
      <c r="D273" s="1" t="n">
        <v>44914</v>
      </c>
      <c r="E273" s="1" t="n">
        <v>46223</v>
      </c>
      <c r="F273" t="inlineStr">
        <is>
          <t>ÖSTERGÖTLANDS LÄN</t>
        </is>
      </c>
      <c r="G273" t="inlineStr">
        <is>
          <t>BOXHOLM</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954-2024</t>
        </is>
      </c>
      <c r="B274" t="inlineStr">
        <is>
          <t>avverkningsanmälan</t>
        </is>
      </c>
      <c r="C274" t="inlineStr">
        <is>
          <t>Föryngringsavverkning</t>
        </is>
      </c>
      <c r="D274" s="1" t="n">
        <v>45301</v>
      </c>
      <c r="E274" s="1" t="n">
        <v>46223</v>
      </c>
      <c r="F274" t="inlineStr">
        <is>
          <t>ÖSTERGÖTLANDS LÄN</t>
        </is>
      </c>
      <c r="G274" t="inlineStr">
        <is>
          <t>BOXHOLM</t>
        </is>
      </c>
      <c r="I274" t="n">
        <v>1.8</v>
      </c>
      <c r="J274" t="n">
        <v>0</v>
      </c>
      <c r="K274" t="n">
        <v>0</v>
      </c>
      <c r="L274" t="n">
        <v>0</v>
      </c>
      <c r="M274" t="n">
        <v>0</v>
      </c>
      <c r="N274" t="n">
        <v>0</v>
      </c>
      <c r="O274" t="n">
        <v>0</v>
      </c>
      <c r="P274" t="n">
        <v>0</v>
      </c>
      <c r="Q274" t="n">
        <v>0</v>
      </c>
      <c r="R274" t="n">
        <v>0</v>
      </c>
      <c r="S274" t="n">
        <v>0</v>
      </c>
      <c r="T274" t="n">
        <v>0</v>
      </c>
      <c r="U274" s="2" t="inlineStr"/>
    </row>
    <row r="275" ht="15" customHeight="1">
      <c r="A275" t="inlineStr">
        <is>
          <t>A 965-2024</t>
        </is>
      </c>
      <c r="B275" t="inlineStr">
        <is>
          <t>avverkningsanmälan</t>
        </is>
      </c>
      <c r="C275" t="inlineStr">
        <is>
          <t>Föryngringsavverkning</t>
        </is>
      </c>
      <c r="D275" s="1" t="n">
        <v>45301</v>
      </c>
      <c r="E275" s="1" t="n">
        <v>46223</v>
      </c>
      <c r="F275" t="inlineStr">
        <is>
          <t>ÖSTERGÖTLANDS LÄN</t>
        </is>
      </c>
      <c r="G275" t="inlineStr">
        <is>
          <t>BOXHOLM</t>
        </is>
      </c>
      <c r="I275" t="n">
        <v>4.1</v>
      </c>
      <c r="J275" t="n">
        <v>0</v>
      </c>
      <c r="K275" t="n">
        <v>0</v>
      </c>
      <c r="L275" t="n">
        <v>0</v>
      </c>
      <c r="M275" t="n">
        <v>0</v>
      </c>
      <c r="N275" t="n">
        <v>0</v>
      </c>
      <c r="O275" t="n">
        <v>0</v>
      </c>
      <c r="P275" t="n">
        <v>0</v>
      </c>
      <c r="Q275" t="n">
        <v>0</v>
      </c>
      <c r="R275" t="n">
        <v>0</v>
      </c>
      <c r="S275" t="n">
        <v>0</v>
      </c>
      <c r="T275" t="n">
        <v>0</v>
      </c>
      <c r="U275" s="2" t="inlineStr"/>
    </row>
    <row r="276" ht="15" customHeight="1">
      <c r="A276" t="inlineStr">
        <is>
          <t>A 46588-2021</t>
        </is>
      </c>
      <c r="B276" t="inlineStr">
        <is>
          <t>avverkningsanmälan</t>
        </is>
      </c>
      <c r="C276" t="inlineStr">
        <is>
          <t>Föryngringsavverkning</t>
        </is>
      </c>
      <c r="D276" s="1" t="n">
        <v>44445</v>
      </c>
      <c r="E276" s="1" t="n">
        <v>46223</v>
      </c>
      <c r="F276" t="inlineStr">
        <is>
          <t>ÖSTERGÖTLANDS LÄN</t>
        </is>
      </c>
      <c r="G276" t="inlineStr">
        <is>
          <t>BOXHOLM</t>
        </is>
      </c>
      <c r="I276" t="n">
        <v>3.5</v>
      </c>
      <c r="J276" t="n">
        <v>0</v>
      </c>
      <c r="K276" t="n">
        <v>0</v>
      </c>
      <c r="L276" t="n">
        <v>0</v>
      </c>
      <c r="M276" t="n">
        <v>0</v>
      </c>
      <c r="N276" t="n">
        <v>0</v>
      </c>
      <c r="O276" t="n">
        <v>0</v>
      </c>
      <c r="P276" t="n">
        <v>0</v>
      </c>
      <c r="Q276" t="n">
        <v>0</v>
      </c>
      <c r="R276" t="n">
        <v>0</v>
      </c>
      <c r="S276" t="n">
        <v>0</v>
      </c>
      <c r="T276" t="n">
        <v>0</v>
      </c>
      <c r="U276" s="2" t="inlineStr"/>
    </row>
    <row r="277" ht="15" customHeight="1">
      <c r="A277" t="inlineStr">
        <is>
          <t>A 50239-2024</t>
        </is>
      </c>
      <c r="B277" t="inlineStr">
        <is>
          <t>avverkningsanmälan</t>
        </is>
      </c>
      <c r="C277" t="inlineStr">
        <is>
          <t>Avverkning för att bevara och utveckla /försöksver</t>
        </is>
      </c>
      <c r="D277" s="1" t="n">
        <v>45600</v>
      </c>
      <c r="E277" s="1" t="n">
        <v>46223</v>
      </c>
      <c r="F277" t="inlineStr">
        <is>
          <t>ÖSTERGÖTLANDS LÄN</t>
        </is>
      </c>
      <c r="G277" t="inlineStr">
        <is>
          <t>BOXHOLM</t>
        </is>
      </c>
      <c r="H277" t="inlineStr">
        <is>
          <t>Övriga Aktiebolag</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50251-2024</t>
        </is>
      </c>
      <c r="B278" t="inlineStr">
        <is>
          <t>avverkningsanmälan</t>
        </is>
      </c>
      <c r="C278" t="inlineStr">
        <is>
          <t>Avverkning för att bevara och utveckla /försöksver</t>
        </is>
      </c>
      <c r="D278" s="1" t="n">
        <v>45600</v>
      </c>
      <c r="E278" s="1" t="n">
        <v>46223</v>
      </c>
      <c r="F278" t="inlineStr">
        <is>
          <t>ÖSTERGÖTLANDS LÄN</t>
        </is>
      </c>
      <c r="G278" t="inlineStr">
        <is>
          <t>BOXHOLM</t>
        </is>
      </c>
      <c r="H278" t="inlineStr">
        <is>
          <t>Övriga Aktiebolag</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8771-2022</t>
        </is>
      </c>
      <c r="B279" t="inlineStr">
        <is>
          <t>avverkningsanmälan</t>
        </is>
      </c>
      <c r="C279" t="inlineStr">
        <is>
          <t>Föryngringsavverkning</t>
        </is>
      </c>
      <c r="D279" s="1" t="n">
        <v>44614</v>
      </c>
      <c r="E279" s="1" t="n">
        <v>46223</v>
      </c>
      <c r="F279" t="inlineStr">
        <is>
          <t>ÖSTERGÖTLANDS LÄN</t>
        </is>
      </c>
      <c r="G279" t="inlineStr">
        <is>
          <t>BOXHOLM</t>
        </is>
      </c>
      <c r="H279" t="inlineStr">
        <is>
          <t>Övriga Aktiebolag</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29974-2026</t>
        </is>
      </c>
      <c r="B280" t="inlineStr">
        <is>
          <t>avverkningsanmälan</t>
        </is>
      </c>
      <c r="C280" t="inlineStr">
        <is>
          <t>Föryngringsavverkning</t>
        </is>
      </c>
      <c r="D280" s="1" t="n">
        <v>46205</v>
      </c>
      <c r="E280" s="1" t="n">
        <v>46223</v>
      </c>
      <c r="F280" t="inlineStr">
        <is>
          <t>ÖSTERGÖTLANDS LÄN</t>
        </is>
      </c>
      <c r="G280" t="inlineStr">
        <is>
          <t>BOXHOLM</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29975-2026</t>
        </is>
      </c>
      <c r="B281" t="inlineStr">
        <is>
          <t>avverkningsanmälan</t>
        </is>
      </c>
      <c r="C281" t="inlineStr">
        <is>
          <t>Föryngringsavverkning</t>
        </is>
      </c>
      <c r="D281" s="1" t="n">
        <v>46205</v>
      </c>
      <c r="E281" s="1" t="n">
        <v>46223</v>
      </c>
      <c r="F281" t="inlineStr">
        <is>
          <t>ÖSTERGÖTLANDS LÄN</t>
        </is>
      </c>
      <c r="G281" t="inlineStr">
        <is>
          <t>BOXHOLM</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4190-2024</t>
        </is>
      </c>
      <c r="B282" t="inlineStr">
        <is>
          <t>avverkningsanmälan</t>
        </is>
      </c>
      <c r="C282" t="inlineStr">
        <is>
          <t>Föryngringsavverkning</t>
        </is>
      </c>
      <c r="D282" s="1" t="n">
        <v>45324</v>
      </c>
      <c r="E282" s="1" t="n">
        <v>46223</v>
      </c>
      <c r="F282" t="inlineStr">
        <is>
          <t>ÖSTERGÖTLANDS LÄN</t>
        </is>
      </c>
      <c r="G282" t="inlineStr">
        <is>
          <t>BOXHOLM</t>
        </is>
      </c>
      <c r="H282" t="inlineStr">
        <is>
          <t>Övriga Aktiebolag</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26648-2025</t>
        </is>
      </c>
      <c r="B283" t="inlineStr">
        <is>
          <t>avverkningsanmälan</t>
        </is>
      </c>
      <c r="C283" t="inlineStr">
        <is>
          <t>Föryngringsavverkning</t>
        </is>
      </c>
      <c r="D283" s="1" t="n">
        <v>45809</v>
      </c>
      <c r="E283" s="1" t="n">
        <v>46223</v>
      </c>
      <c r="F283" t="inlineStr">
        <is>
          <t>ÖSTERGÖTLANDS LÄN</t>
        </is>
      </c>
      <c r="G283" t="inlineStr">
        <is>
          <t>BOXHOLM</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29976-2026</t>
        </is>
      </c>
      <c r="B284" t="inlineStr">
        <is>
          <t>avverkningsanmälan</t>
        </is>
      </c>
      <c r="C284" t="inlineStr">
        <is>
          <t>Föryngringsavverkning</t>
        </is>
      </c>
      <c r="D284" s="1" t="n">
        <v>46205</v>
      </c>
      <c r="E284" s="1" t="n">
        <v>46223</v>
      </c>
      <c r="F284" t="inlineStr">
        <is>
          <t>ÖSTERGÖTLANDS LÄN</t>
        </is>
      </c>
      <c r="G284" t="inlineStr">
        <is>
          <t>BOXHOLM</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29977-2026</t>
        </is>
      </c>
      <c r="B285" t="inlineStr">
        <is>
          <t>avverkningsanmälan</t>
        </is>
      </c>
      <c r="C285" t="inlineStr">
        <is>
          <t>Föryngringsavverkning</t>
        </is>
      </c>
      <c r="D285" s="1" t="n">
        <v>46205</v>
      </c>
      <c r="E285" s="1" t="n">
        <v>46223</v>
      </c>
      <c r="F285" t="inlineStr">
        <is>
          <t>ÖSTERGÖTLANDS LÄN</t>
        </is>
      </c>
      <c r="G285" t="inlineStr">
        <is>
          <t>BOXHOLM</t>
        </is>
      </c>
      <c r="I285" t="n">
        <v>2.1</v>
      </c>
      <c r="J285" t="n">
        <v>0</v>
      </c>
      <c r="K285" t="n">
        <v>0</v>
      </c>
      <c r="L285" t="n">
        <v>0</v>
      </c>
      <c r="M285" t="n">
        <v>0</v>
      </c>
      <c r="N285" t="n">
        <v>0</v>
      </c>
      <c r="O285" t="n">
        <v>0</v>
      </c>
      <c r="P285" t="n">
        <v>0</v>
      </c>
      <c r="Q285" t="n">
        <v>0</v>
      </c>
      <c r="R285" t="n">
        <v>0</v>
      </c>
      <c r="S285" t="n">
        <v>0</v>
      </c>
      <c r="T285" t="n">
        <v>0</v>
      </c>
      <c r="U285" s="2" t="inlineStr"/>
    </row>
    <row r="286" ht="15" customHeight="1">
      <c r="A286" t="inlineStr">
        <is>
          <t>A 23831-2026</t>
        </is>
      </c>
      <c r="B286" t="inlineStr">
        <is>
          <t>avverkningsanmälan</t>
        </is>
      </c>
      <c r="C286" t="inlineStr">
        <is>
          <t>Föryngringsavverkning</t>
        </is>
      </c>
      <c r="D286" s="1" t="n">
        <v>46167</v>
      </c>
      <c r="E286" s="1" t="n">
        <v>46223</v>
      </c>
      <c r="F286" t="inlineStr">
        <is>
          <t>ÖSTERGÖTLANDS LÄN</t>
        </is>
      </c>
      <c r="G286" t="inlineStr">
        <is>
          <t>BOXHOLM</t>
        </is>
      </c>
      <c r="H286" t="inlineStr">
        <is>
          <t>Övriga Aktiebolag</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15386-2025</t>
        </is>
      </c>
      <c r="B287" t="inlineStr">
        <is>
          <t>avverkningsanmälan</t>
        </is>
      </c>
      <c r="C287" t="inlineStr">
        <is>
          <t>Avverkning för att bevara och utveckla /försöksver</t>
        </is>
      </c>
      <c r="D287" s="1" t="n">
        <v>45747</v>
      </c>
      <c r="E287" s="1" t="n">
        <v>46223</v>
      </c>
      <c r="F287" t="inlineStr">
        <is>
          <t>ÖSTERGÖTLANDS LÄN</t>
        </is>
      </c>
      <c r="G287" t="inlineStr">
        <is>
          <t>BOXHOLM</t>
        </is>
      </c>
      <c r="H287" t="inlineStr">
        <is>
          <t>Övriga Aktiebolag</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49089-2023</t>
        </is>
      </c>
      <c r="B288" t="inlineStr">
        <is>
          <t>avverkningsanmälan</t>
        </is>
      </c>
      <c r="C288" t="inlineStr">
        <is>
          <t>Föryngringsavverkning</t>
        </is>
      </c>
      <c r="D288" s="1" t="n">
        <v>45210</v>
      </c>
      <c r="E288" s="1" t="n">
        <v>46223</v>
      </c>
      <c r="F288" t="inlineStr">
        <is>
          <t>ÖSTERGÖTLANDS LÄN</t>
        </is>
      </c>
      <c r="G288" t="inlineStr">
        <is>
          <t>BOXHOLM</t>
        </is>
      </c>
      <c r="I288" t="n">
        <v>11.2</v>
      </c>
      <c r="J288" t="n">
        <v>0</v>
      </c>
      <c r="K288" t="n">
        <v>0</v>
      </c>
      <c r="L288" t="n">
        <v>0</v>
      </c>
      <c r="M288" t="n">
        <v>0</v>
      </c>
      <c r="N288" t="n">
        <v>0</v>
      </c>
      <c r="O288" t="n">
        <v>0</v>
      </c>
      <c r="P288" t="n">
        <v>0</v>
      </c>
      <c r="Q288" t="n">
        <v>0</v>
      </c>
      <c r="R288" t="n">
        <v>0</v>
      </c>
      <c r="S288" t="n">
        <v>0</v>
      </c>
      <c r="T288" t="n">
        <v>0</v>
      </c>
      <c r="U288" s="2" t="inlineStr"/>
    </row>
    <row r="289" ht="15" customHeight="1">
      <c r="A289" t="inlineStr">
        <is>
          <t>A 31249-2026</t>
        </is>
      </c>
      <c r="B289" t="inlineStr">
        <is>
          <t>avverkningsanmälan</t>
        </is>
      </c>
      <c r="C289" t="inlineStr">
        <is>
          <t>Föryngringsavverkning</t>
        </is>
      </c>
      <c r="D289" s="1" t="n">
        <v>46218</v>
      </c>
      <c r="E289" s="1" t="n">
        <v>46223</v>
      </c>
      <c r="F289" t="inlineStr">
        <is>
          <t>ÖSTERGÖTLANDS LÄN</t>
        </is>
      </c>
      <c r="G289" t="inlineStr">
        <is>
          <t>BOXHOLM</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31250-2026</t>
        </is>
      </c>
      <c r="B290" t="inlineStr">
        <is>
          <t>avverkningsanmälan</t>
        </is>
      </c>
      <c r="C290" t="inlineStr">
        <is>
          <t>Föryngringsavverkning</t>
        </is>
      </c>
      <c r="D290" s="1" t="n">
        <v>46218</v>
      </c>
      <c r="E290" s="1" t="n">
        <v>46223</v>
      </c>
      <c r="F290" t="inlineStr">
        <is>
          <t>ÖSTERGÖTLANDS LÄN</t>
        </is>
      </c>
      <c r="G290" t="inlineStr">
        <is>
          <t>BOXHOLM</t>
        </is>
      </c>
      <c r="I290" t="n">
        <v>6.5</v>
      </c>
      <c r="J290" t="n">
        <v>0</v>
      </c>
      <c r="K290" t="n">
        <v>0</v>
      </c>
      <c r="L290" t="n">
        <v>0</v>
      </c>
      <c r="M290" t="n">
        <v>0</v>
      </c>
      <c r="N290" t="n">
        <v>0</v>
      </c>
      <c r="O290" t="n">
        <v>0</v>
      </c>
      <c r="P290" t="n">
        <v>0</v>
      </c>
      <c r="Q290" t="n">
        <v>0</v>
      </c>
      <c r="R290" t="n">
        <v>0</v>
      </c>
      <c r="S290" t="n">
        <v>0</v>
      </c>
      <c r="T290" t="n">
        <v>0</v>
      </c>
      <c r="U290" s="2" t="inlineStr"/>
    </row>
    <row r="291" ht="15" customHeight="1">
      <c r="A291" t="inlineStr">
        <is>
          <t>A 52964-2023</t>
        </is>
      </c>
      <c r="B291" t="inlineStr">
        <is>
          <t>avverkningsanmälan</t>
        </is>
      </c>
      <c r="C291" t="inlineStr">
        <is>
          <t>Föryngringsavverkning</t>
        </is>
      </c>
      <c r="D291" s="1" t="n">
        <v>45226</v>
      </c>
      <c r="E291" s="1" t="n">
        <v>46223</v>
      </c>
      <c r="F291" t="inlineStr">
        <is>
          <t>ÖSTERGÖTLANDS LÄN</t>
        </is>
      </c>
      <c r="G291" t="inlineStr">
        <is>
          <t>BOXHOLM</t>
        </is>
      </c>
      <c r="I291" t="n">
        <v>2.8</v>
      </c>
      <c r="J291" t="n">
        <v>0</v>
      </c>
      <c r="K291" t="n">
        <v>0</v>
      </c>
      <c r="L291" t="n">
        <v>0</v>
      </c>
      <c r="M291" t="n">
        <v>0</v>
      </c>
      <c r="N291" t="n">
        <v>0</v>
      </c>
      <c r="O291" t="n">
        <v>0</v>
      </c>
      <c r="P291" t="n">
        <v>0</v>
      </c>
      <c r="Q291" t="n">
        <v>0</v>
      </c>
      <c r="R291" t="n">
        <v>0</v>
      </c>
      <c r="S291" t="n">
        <v>0</v>
      </c>
      <c r="T291" t="n">
        <v>0</v>
      </c>
      <c r="U291" s="2" t="inlineStr"/>
    </row>
    <row r="292" ht="15" customHeight="1">
      <c r="A292" t="inlineStr">
        <is>
          <t>A 10331-2024</t>
        </is>
      </c>
      <c r="B292" t="inlineStr">
        <is>
          <t>avverkningsanmälan</t>
        </is>
      </c>
      <c r="C292" t="inlineStr">
        <is>
          <t>Föryngringsavverkning</t>
        </is>
      </c>
      <c r="D292" s="1" t="n">
        <v>45365</v>
      </c>
      <c r="E292" s="1" t="n">
        <v>46223</v>
      </c>
      <c r="F292" t="inlineStr">
        <is>
          <t>ÖSTERGÖTLANDS LÄN</t>
        </is>
      </c>
      <c r="G292" t="inlineStr">
        <is>
          <t>BOXHOLM</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13606-2024</t>
        </is>
      </c>
      <c r="B293" t="inlineStr">
        <is>
          <t>avverkningsanmälan</t>
        </is>
      </c>
      <c r="C293" t="inlineStr">
        <is>
          <t>Föryngringsavverkning</t>
        </is>
      </c>
      <c r="D293" s="1" t="n">
        <v>45390</v>
      </c>
      <c r="E293" s="1" t="n">
        <v>46223</v>
      </c>
      <c r="F293" t="inlineStr">
        <is>
          <t>ÖSTERGÖTLANDS LÄN</t>
        </is>
      </c>
      <c r="G293" t="inlineStr">
        <is>
          <t>BOXHOLM</t>
        </is>
      </c>
      <c r="H293" t="inlineStr">
        <is>
          <t>Övriga Aktiebolag</t>
        </is>
      </c>
      <c r="I293" t="n">
        <v>5.8</v>
      </c>
      <c r="J293" t="n">
        <v>0</v>
      </c>
      <c r="K293" t="n">
        <v>0</v>
      </c>
      <c r="L293" t="n">
        <v>0</v>
      </c>
      <c r="M293" t="n">
        <v>0</v>
      </c>
      <c r="N293" t="n">
        <v>0</v>
      </c>
      <c r="O293" t="n">
        <v>0</v>
      </c>
      <c r="P293" t="n">
        <v>0</v>
      </c>
      <c r="Q293" t="n">
        <v>0</v>
      </c>
      <c r="R293" t="n">
        <v>0</v>
      </c>
      <c r="S293" t="n">
        <v>0</v>
      </c>
      <c r="T293" t="n">
        <v>0</v>
      </c>
      <c r="U293" s="2" t="inlineStr"/>
    </row>
    <row r="294" ht="15" customHeight="1">
      <c r="A294" t="inlineStr">
        <is>
          <t>A 25470-2026</t>
        </is>
      </c>
      <c r="B294" t="inlineStr">
        <is>
          <t>avverkningsanmälan</t>
        </is>
      </c>
      <c r="C294" t="inlineStr">
        <is>
          <t>Föryngringsavverkning</t>
        </is>
      </c>
      <c r="D294" s="1" t="n">
        <v>46177</v>
      </c>
      <c r="E294" s="1" t="n">
        <v>46223</v>
      </c>
      <c r="F294" t="inlineStr">
        <is>
          <t>ÖSTERGÖTLANDS LÄN</t>
        </is>
      </c>
      <c r="G294" t="inlineStr">
        <is>
          <t>BOXHOLM</t>
        </is>
      </c>
      <c r="H294" t="inlineStr">
        <is>
          <t>Kyrkan</t>
        </is>
      </c>
      <c r="I294" t="n">
        <v>13.8</v>
      </c>
      <c r="J294" t="n">
        <v>0</v>
      </c>
      <c r="K294" t="n">
        <v>0</v>
      </c>
      <c r="L294" t="n">
        <v>0</v>
      </c>
      <c r="M294" t="n">
        <v>0</v>
      </c>
      <c r="N294" t="n">
        <v>0</v>
      </c>
      <c r="O294" t="n">
        <v>0</v>
      </c>
      <c r="P294" t="n">
        <v>0</v>
      </c>
      <c r="Q294" t="n">
        <v>0</v>
      </c>
      <c r="R294" t="n">
        <v>0</v>
      </c>
      <c r="S294" t="n">
        <v>0</v>
      </c>
      <c r="T294" t="n">
        <v>0</v>
      </c>
      <c r="U294" s="2" t="inlineStr"/>
    </row>
    <row r="295" ht="15" customHeight="1">
      <c r="A295" t="inlineStr">
        <is>
          <t>A 15420-2025</t>
        </is>
      </c>
      <c r="B295" t="inlineStr">
        <is>
          <t>avverkningsanmälan</t>
        </is>
      </c>
      <c r="C295" t="inlineStr">
        <is>
          <t>Avverkning för att bevara och utveckla /försöksver</t>
        </is>
      </c>
      <c r="D295" s="1" t="n">
        <v>45747</v>
      </c>
      <c r="E295" s="1" t="n">
        <v>46223</v>
      </c>
      <c r="F295" t="inlineStr">
        <is>
          <t>ÖSTERGÖTLANDS LÄN</t>
        </is>
      </c>
      <c r="G295" t="inlineStr">
        <is>
          <t>BOXHOLM</t>
        </is>
      </c>
      <c r="H295" t="inlineStr">
        <is>
          <t>Övriga Aktiebolag</t>
        </is>
      </c>
      <c r="I295" t="n">
        <v>3.1</v>
      </c>
      <c r="J295" t="n">
        <v>0</v>
      </c>
      <c r="K295" t="n">
        <v>0</v>
      </c>
      <c r="L295" t="n">
        <v>0</v>
      </c>
      <c r="M295" t="n">
        <v>0</v>
      </c>
      <c r="N295" t="n">
        <v>0</v>
      </c>
      <c r="O295" t="n">
        <v>0</v>
      </c>
      <c r="P295" t="n">
        <v>0</v>
      </c>
      <c r="Q295" t="n">
        <v>0</v>
      </c>
      <c r="R295" t="n">
        <v>0</v>
      </c>
      <c r="S295" t="n">
        <v>0</v>
      </c>
      <c r="T295" t="n">
        <v>0</v>
      </c>
      <c r="U295" s="2" t="inlineStr"/>
    </row>
    <row r="296" ht="15" customHeight="1">
      <c r="A296" t="inlineStr">
        <is>
          <t>A 25892-2026</t>
        </is>
      </c>
      <c r="B296" t="inlineStr">
        <is>
          <t>avverkningsanmälan</t>
        </is>
      </c>
      <c r="C296" t="inlineStr">
        <is>
          <t>Föryngringsavverkning</t>
        </is>
      </c>
      <c r="D296" s="1" t="n">
        <v>46178</v>
      </c>
      <c r="E296" s="1" t="n">
        <v>46223</v>
      </c>
      <c r="F296" t="inlineStr">
        <is>
          <t>ÖSTERGÖTLANDS LÄN</t>
        </is>
      </c>
      <c r="G296" t="inlineStr">
        <is>
          <t>BOXHOLM</t>
        </is>
      </c>
      <c r="H296" t="inlineStr">
        <is>
          <t>Övriga Aktiebolag</t>
        </is>
      </c>
      <c r="I296" t="n">
        <v>6.5</v>
      </c>
      <c r="J296" t="n">
        <v>0</v>
      </c>
      <c r="K296" t="n">
        <v>0</v>
      </c>
      <c r="L296" t="n">
        <v>0</v>
      </c>
      <c r="M296" t="n">
        <v>0</v>
      </c>
      <c r="N296" t="n">
        <v>0</v>
      </c>
      <c r="O296" t="n">
        <v>0</v>
      </c>
      <c r="P296" t="n">
        <v>0</v>
      </c>
      <c r="Q296" t="n">
        <v>0</v>
      </c>
      <c r="R296" t="n">
        <v>0</v>
      </c>
      <c r="S296" t="n">
        <v>0</v>
      </c>
      <c r="T296" t="n">
        <v>0</v>
      </c>
      <c r="U296" s="2" t="inlineStr"/>
    </row>
    <row r="297" ht="15" customHeight="1">
      <c r="A297" t="inlineStr">
        <is>
          <t>A 27305-2026</t>
        </is>
      </c>
      <c r="B297" t="inlineStr">
        <is>
          <t>avverkningsanmälan</t>
        </is>
      </c>
      <c r="C297" t="inlineStr">
        <is>
          <t>Avverkning för att bevara och utveckla /försöksver</t>
        </is>
      </c>
      <c r="D297" s="1" t="n">
        <v>46188</v>
      </c>
      <c r="E297" s="1" t="n">
        <v>46223</v>
      </c>
      <c r="F297" t="inlineStr">
        <is>
          <t>ÖSTERGÖTLANDS LÄN</t>
        </is>
      </c>
      <c r="G297" t="inlineStr">
        <is>
          <t>BOXHOLM</t>
        </is>
      </c>
      <c r="H297" t="inlineStr">
        <is>
          <t>Övriga Aktiebolag</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32089-2024</t>
        </is>
      </c>
      <c r="B298" t="inlineStr">
        <is>
          <t>avverkningsanmälan</t>
        </is>
      </c>
      <c r="C298" t="inlineStr">
        <is>
          <t>Föryngringsavverkning</t>
        </is>
      </c>
      <c r="D298" s="1" t="n">
        <v>45511</v>
      </c>
      <c r="E298" s="1" t="n">
        <v>46223</v>
      </c>
      <c r="F298" t="inlineStr">
        <is>
          <t>ÖSTERGÖTLANDS LÄN</t>
        </is>
      </c>
      <c r="G298" t="inlineStr">
        <is>
          <t>BOXHOLM</t>
        </is>
      </c>
      <c r="I298" t="n">
        <v>4.3</v>
      </c>
      <c r="J298" t="n">
        <v>0</v>
      </c>
      <c r="K298" t="n">
        <v>0</v>
      </c>
      <c r="L298" t="n">
        <v>0</v>
      </c>
      <c r="M298" t="n">
        <v>0</v>
      </c>
      <c r="N298" t="n">
        <v>0</v>
      </c>
      <c r="O298" t="n">
        <v>0</v>
      </c>
      <c r="P298" t="n">
        <v>0</v>
      </c>
      <c r="Q298" t="n">
        <v>0</v>
      </c>
      <c r="R298" t="n">
        <v>0</v>
      </c>
      <c r="S298" t="n">
        <v>0</v>
      </c>
      <c r="T298" t="n">
        <v>0</v>
      </c>
      <c r="U298" s="2" t="inlineStr"/>
    </row>
    <row r="299" ht="15" customHeight="1">
      <c r="A299" t="inlineStr">
        <is>
          <t>A 39028-2023</t>
        </is>
      </c>
      <c r="B299" t="inlineStr">
        <is>
          <t>avverkningsanmälan</t>
        </is>
      </c>
      <c r="C299" t="inlineStr">
        <is>
          <t>Föryngringsavverkning</t>
        </is>
      </c>
      <c r="D299" s="1" t="n">
        <v>45163</v>
      </c>
      <c r="E299" s="1" t="n">
        <v>46223</v>
      </c>
      <c r="F299" t="inlineStr">
        <is>
          <t>ÖSTERGÖTLANDS LÄN</t>
        </is>
      </c>
      <c r="G299" t="inlineStr">
        <is>
          <t>BOXHOLM</t>
        </is>
      </c>
      <c r="H299" t="inlineStr">
        <is>
          <t>Allmännings- och besparingsskogar</t>
        </is>
      </c>
      <c r="I299" t="n">
        <v>2.9</v>
      </c>
      <c r="J299" t="n">
        <v>0</v>
      </c>
      <c r="K299" t="n">
        <v>0</v>
      </c>
      <c r="L299" t="n">
        <v>0</v>
      </c>
      <c r="M299" t="n">
        <v>0</v>
      </c>
      <c r="N299" t="n">
        <v>0</v>
      </c>
      <c r="O299" t="n">
        <v>0</v>
      </c>
      <c r="P299" t="n">
        <v>0</v>
      </c>
      <c r="Q299" t="n">
        <v>0</v>
      </c>
      <c r="R299" t="n">
        <v>0</v>
      </c>
      <c r="S299" t="n">
        <v>0</v>
      </c>
      <c r="T299" t="n">
        <v>0</v>
      </c>
      <c r="U299" s="2" t="inlineStr"/>
    </row>
    <row r="300" ht="15" customHeight="1">
      <c r="A300" t="inlineStr">
        <is>
          <t>A 60797-2023</t>
        </is>
      </c>
      <c r="B300" t="inlineStr">
        <is>
          <t>avverkningsanmälan</t>
        </is>
      </c>
      <c r="C300" t="inlineStr">
        <is>
          <t>Föryngringsavverkning</t>
        </is>
      </c>
      <c r="D300" s="1" t="n">
        <v>45259</v>
      </c>
      <c r="E300" s="1" t="n">
        <v>46223</v>
      </c>
      <c r="F300" t="inlineStr">
        <is>
          <t>ÖSTERGÖTLANDS LÄN</t>
        </is>
      </c>
      <c r="G300" t="inlineStr">
        <is>
          <t>BOXHOLM</t>
        </is>
      </c>
      <c r="I300" t="n">
        <v>3</v>
      </c>
      <c r="J300" t="n">
        <v>0</v>
      </c>
      <c r="K300" t="n">
        <v>0</v>
      </c>
      <c r="L300" t="n">
        <v>0</v>
      </c>
      <c r="M300" t="n">
        <v>0</v>
      </c>
      <c r="N300" t="n">
        <v>0</v>
      </c>
      <c r="O300" t="n">
        <v>0</v>
      </c>
      <c r="P300" t="n">
        <v>0</v>
      </c>
      <c r="Q300" t="n">
        <v>0</v>
      </c>
      <c r="R300" t="n">
        <v>0</v>
      </c>
      <c r="S300" t="n">
        <v>0</v>
      </c>
      <c r="T300" t="n">
        <v>0</v>
      </c>
      <c r="U300" s="2" t="inlineStr"/>
    </row>
    <row r="301" ht="15" customHeight="1">
      <c r="A301" t="inlineStr">
        <is>
          <t>A 27647-2023</t>
        </is>
      </c>
      <c r="B301" t="inlineStr">
        <is>
          <t>avverkningsanmälan</t>
        </is>
      </c>
      <c r="C301" t="inlineStr">
        <is>
          <t>Föryngringsavverkning</t>
        </is>
      </c>
      <c r="D301" s="1" t="n">
        <v>45097</v>
      </c>
      <c r="E301" s="1" t="n">
        <v>46223</v>
      </c>
      <c r="F301" t="inlineStr">
        <is>
          <t>ÖSTERGÖTLANDS LÄN</t>
        </is>
      </c>
      <c r="G301" t="inlineStr">
        <is>
          <t>BOXHOLM</t>
        </is>
      </c>
      <c r="H301" t="inlineStr">
        <is>
          <t>Allmännings- och besparingsskogar</t>
        </is>
      </c>
      <c r="I301" t="n">
        <v>7.8</v>
      </c>
      <c r="J301" t="n">
        <v>0</v>
      </c>
      <c r="K301" t="n">
        <v>0</v>
      </c>
      <c r="L301" t="n">
        <v>0</v>
      </c>
      <c r="M301" t="n">
        <v>0</v>
      </c>
      <c r="N301" t="n">
        <v>0</v>
      </c>
      <c r="O301" t="n">
        <v>0</v>
      </c>
      <c r="P301" t="n">
        <v>0</v>
      </c>
      <c r="Q301" t="n">
        <v>0</v>
      </c>
      <c r="R301" t="n">
        <v>0</v>
      </c>
      <c r="S301" t="n">
        <v>0</v>
      </c>
      <c r="T301" t="n">
        <v>0</v>
      </c>
      <c r="U301" s="2" t="inlineStr"/>
    </row>
    <row r="302" ht="15" customHeight="1">
      <c r="A302" t="inlineStr">
        <is>
          <t>A 72283-2021</t>
        </is>
      </c>
      <c r="B302" t="inlineStr">
        <is>
          <t>avverkningsanmälan</t>
        </is>
      </c>
      <c r="C302" t="inlineStr">
        <is>
          <t>Föryngringsavverkning</t>
        </is>
      </c>
      <c r="D302" s="1" t="n">
        <v>44545</v>
      </c>
      <c r="E302" s="1" t="n">
        <v>46223</v>
      </c>
      <c r="F302" t="inlineStr">
        <is>
          <t>ÖSTERGÖTLANDS LÄN</t>
        </is>
      </c>
      <c r="G302" t="inlineStr">
        <is>
          <t>BOXHOLM</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48560-2022</t>
        </is>
      </c>
      <c r="B303" t="inlineStr">
        <is>
          <t>avverkningsanmälan</t>
        </is>
      </c>
      <c r="C303" t="inlineStr">
        <is>
          <t>Föryngringsavverkning</t>
        </is>
      </c>
      <c r="D303" s="1" t="n">
        <v>44859</v>
      </c>
      <c r="E303" s="1" t="n">
        <v>46223</v>
      </c>
      <c r="F303" t="inlineStr">
        <is>
          <t>ÖSTERGÖTLANDS LÄN</t>
        </is>
      </c>
      <c r="G303" t="inlineStr">
        <is>
          <t>BOXHOLM</t>
        </is>
      </c>
      <c r="H303" t="inlineStr">
        <is>
          <t>Övriga Aktiebolag</t>
        </is>
      </c>
      <c r="I303" t="n">
        <v>1.5</v>
      </c>
      <c r="J303" t="n">
        <v>0</v>
      </c>
      <c r="K303" t="n">
        <v>0</v>
      </c>
      <c r="L303" t="n">
        <v>0</v>
      </c>
      <c r="M303" t="n">
        <v>0</v>
      </c>
      <c r="N303" t="n">
        <v>0</v>
      </c>
      <c r="O303" t="n">
        <v>0</v>
      </c>
      <c r="P303" t="n">
        <v>0</v>
      </c>
      <c r="Q303" t="n">
        <v>0</v>
      </c>
      <c r="R303" t="n">
        <v>0</v>
      </c>
      <c r="S303" t="n">
        <v>0</v>
      </c>
      <c r="T303" t="n">
        <v>0</v>
      </c>
      <c r="U303" s="2" t="inlineStr"/>
    </row>
    <row r="304" ht="15" customHeight="1">
      <c r="A304" t="inlineStr">
        <is>
          <t>A 17679-2025</t>
        </is>
      </c>
      <c r="B304" t="inlineStr">
        <is>
          <t>avverkningsanmälan</t>
        </is>
      </c>
      <c r="C304" t="inlineStr">
        <is>
          <t>Avverkning för att bevara och utveckla /försöksver</t>
        </is>
      </c>
      <c r="D304" s="1" t="n">
        <v>45758</v>
      </c>
      <c r="E304" s="1" t="n">
        <v>46223</v>
      </c>
      <c r="F304" t="inlineStr">
        <is>
          <t>ÖSTERGÖTLANDS LÄN</t>
        </is>
      </c>
      <c r="G304" t="inlineStr">
        <is>
          <t>BOXHOLM</t>
        </is>
      </c>
      <c r="H304" t="inlineStr">
        <is>
          <t>Övriga Aktiebolag</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14628-2023</t>
        </is>
      </c>
      <c r="B305" t="inlineStr">
        <is>
          <t>avverkningsanmälan</t>
        </is>
      </c>
      <c r="C305" t="inlineStr">
        <is>
          <t>Föryngringsavverkning</t>
        </is>
      </c>
      <c r="D305" s="1" t="n">
        <v>45013</v>
      </c>
      <c r="E305" s="1" t="n">
        <v>46223</v>
      </c>
      <c r="F305" t="inlineStr">
        <is>
          <t>ÖSTERGÖTLANDS LÄN</t>
        </is>
      </c>
      <c r="G305" t="inlineStr">
        <is>
          <t>BOXHOLM</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5824-2024</t>
        </is>
      </c>
      <c r="B306" t="inlineStr">
        <is>
          <t>avverkningsanmälan</t>
        </is>
      </c>
      <c r="C306" t="inlineStr">
        <is>
          <t>Föryngringsavverkning</t>
        </is>
      </c>
      <c r="D306" s="1" t="n">
        <v>45335</v>
      </c>
      <c r="E306" s="1" t="n">
        <v>46223</v>
      </c>
      <c r="F306" t="inlineStr">
        <is>
          <t>ÖSTERGÖTLANDS LÄN</t>
        </is>
      </c>
      <c r="G306" t="inlineStr">
        <is>
          <t>BOXHOLM</t>
        </is>
      </c>
      <c r="H306" t="inlineStr">
        <is>
          <t>Allmännings- och besparingsskogar</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960-2024</t>
        </is>
      </c>
      <c r="B307" t="inlineStr">
        <is>
          <t>avverkningsanmälan</t>
        </is>
      </c>
      <c r="C307" t="inlineStr">
        <is>
          <t>Föryngringsavverkning</t>
        </is>
      </c>
      <c r="D307" s="1" t="n">
        <v>45301</v>
      </c>
      <c r="E307" s="1" t="n">
        <v>46223</v>
      </c>
      <c r="F307" t="inlineStr">
        <is>
          <t>ÖSTERGÖTLANDS LÄN</t>
        </is>
      </c>
      <c r="G307" t="inlineStr">
        <is>
          <t>BOXHOLM</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40294-2024</t>
        </is>
      </c>
      <c r="B308" t="inlineStr">
        <is>
          <t>avverkningsanmälan</t>
        </is>
      </c>
      <c r="C308" t="inlineStr">
        <is>
          <t>Föryngringsavverkning</t>
        </is>
      </c>
      <c r="D308" s="1" t="n">
        <v>45554</v>
      </c>
      <c r="E308" s="1" t="n">
        <v>46223</v>
      </c>
      <c r="F308" t="inlineStr">
        <is>
          <t>ÖSTERGÖTLANDS LÄN</t>
        </is>
      </c>
      <c r="G308" t="inlineStr">
        <is>
          <t>BOXHOLM</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21385-2025</t>
        </is>
      </c>
      <c r="B309" t="inlineStr">
        <is>
          <t>avverkningsanmälan</t>
        </is>
      </c>
      <c r="C309" t="inlineStr">
        <is>
          <t>Föryngringsavverkning</t>
        </is>
      </c>
      <c r="D309" s="1" t="n">
        <v>45782</v>
      </c>
      <c r="E309" s="1" t="n">
        <v>46223</v>
      </c>
      <c r="F309" t="inlineStr">
        <is>
          <t>ÖSTERGÖTLANDS LÄN</t>
        </is>
      </c>
      <c r="G309" t="inlineStr">
        <is>
          <t>BOXHOLM</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35648-2023</t>
        </is>
      </c>
      <c r="B310" t="inlineStr">
        <is>
          <t>avverkningsanmälan</t>
        </is>
      </c>
      <c r="C310" t="inlineStr">
        <is>
          <t>Föryngringsavverkning</t>
        </is>
      </c>
      <c r="D310" s="1" t="n">
        <v>45147</v>
      </c>
      <c r="E310" s="1" t="n">
        <v>46223</v>
      </c>
      <c r="F310" t="inlineStr">
        <is>
          <t>ÖSTERGÖTLANDS LÄN</t>
        </is>
      </c>
      <c r="G310" t="inlineStr">
        <is>
          <t>BOXHOLM</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6884-2024</t>
        </is>
      </c>
      <c r="B311" t="inlineStr">
        <is>
          <t>avverkningsanmälan</t>
        </is>
      </c>
      <c r="C311" t="inlineStr">
        <is>
          <t>Föryngringsavverkning</t>
        </is>
      </c>
      <c r="D311" s="1" t="n">
        <v>45342</v>
      </c>
      <c r="E311" s="1" t="n">
        <v>46223</v>
      </c>
      <c r="F311" t="inlineStr">
        <is>
          <t>ÖSTERGÖTLANDS LÄN</t>
        </is>
      </c>
      <c r="G311" t="inlineStr">
        <is>
          <t>BOXHOLM</t>
        </is>
      </c>
      <c r="I311" t="n">
        <v>2.5</v>
      </c>
      <c r="J311" t="n">
        <v>0</v>
      </c>
      <c r="K311" t="n">
        <v>0</v>
      </c>
      <c r="L311" t="n">
        <v>0</v>
      </c>
      <c r="M311" t="n">
        <v>0</v>
      </c>
      <c r="N311" t="n">
        <v>0</v>
      </c>
      <c r="O311" t="n">
        <v>0</v>
      </c>
      <c r="P311" t="n">
        <v>0</v>
      </c>
      <c r="Q311" t="n">
        <v>0</v>
      </c>
      <c r="R311" t="n">
        <v>0</v>
      </c>
      <c r="S311" t="n">
        <v>0</v>
      </c>
      <c r="T311" t="n">
        <v>0</v>
      </c>
      <c r="U311" s="2" t="inlineStr"/>
    </row>
    <row r="312" ht="15" customHeight="1">
      <c r="A312" t="inlineStr">
        <is>
          <t>A 24582-2025</t>
        </is>
      </c>
      <c r="B312" t="inlineStr">
        <is>
          <t>avverkningsanmälan</t>
        </is>
      </c>
      <c r="C312" t="inlineStr">
        <is>
          <t>Föryngringsavverkning</t>
        </is>
      </c>
      <c r="D312" s="1" t="n">
        <v>45797</v>
      </c>
      <c r="E312" s="1" t="n">
        <v>46223</v>
      </c>
      <c r="F312" t="inlineStr">
        <is>
          <t>ÖSTERGÖTLANDS LÄN</t>
        </is>
      </c>
      <c r="G312" t="inlineStr">
        <is>
          <t>BOXHOLM</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24325-2025</t>
        </is>
      </c>
      <c r="B313" t="inlineStr">
        <is>
          <t>avverkningsanmälan</t>
        </is>
      </c>
      <c r="C313" t="inlineStr">
        <is>
          <t>Föryngringsavverkning</t>
        </is>
      </c>
      <c r="D313" s="1" t="n">
        <v>45797</v>
      </c>
      <c r="E313" s="1" t="n">
        <v>46223</v>
      </c>
      <c r="F313" t="inlineStr">
        <is>
          <t>ÖSTERGÖTLANDS LÄN</t>
        </is>
      </c>
      <c r="G313" t="inlineStr">
        <is>
          <t>BOXHOLM</t>
        </is>
      </c>
      <c r="I313" t="n">
        <v>3.6</v>
      </c>
      <c r="J313" t="n">
        <v>0</v>
      </c>
      <c r="K313" t="n">
        <v>0</v>
      </c>
      <c r="L313" t="n">
        <v>0</v>
      </c>
      <c r="M313" t="n">
        <v>0</v>
      </c>
      <c r="N313" t="n">
        <v>0</v>
      </c>
      <c r="O313" t="n">
        <v>0</v>
      </c>
      <c r="P313" t="n">
        <v>0</v>
      </c>
      <c r="Q313" t="n">
        <v>0</v>
      </c>
      <c r="R313" t="n">
        <v>0</v>
      </c>
      <c r="S313" t="n">
        <v>0</v>
      </c>
      <c r="T313" t="n">
        <v>0</v>
      </c>
      <c r="U313" s="2" t="inlineStr"/>
    </row>
    <row r="314" ht="15" customHeight="1">
      <c r="A314" t="inlineStr">
        <is>
          <t>A 25937-2024</t>
        </is>
      </c>
      <c r="B314" t="inlineStr">
        <is>
          <t>avverkningsanmälan</t>
        </is>
      </c>
      <c r="C314" t="inlineStr">
        <is>
          <t>Föryngringsavverkning</t>
        </is>
      </c>
      <c r="D314" s="1" t="n">
        <v>45467</v>
      </c>
      <c r="E314" s="1" t="n">
        <v>46223</v>
      </c>
      <c r="F314" t="inlineStr">
        <is>
          <t>ÖSTERGÖTLANDS LÄN</t>
        </is>
      </c>
      <c r="G314" t="inlineStr">
        <is>
          <t>BOXHOLM</t>
        </is>
      </c>
      <c r="I314" t="n">
        <v>10</v>
      </c>
      <c r="J314" t="n">
        <v>0</v>
      </c>
      <c r="K314" t="n">
        <v>0</v>
      </c>
      <c r="L314" t="n">
        <v>0</v>
      </c>
      <c r="M314" t="n">
        <v>0</v>
      </c>
      <c r="N314" t="n">
        <v>0</v>
      </c>
      <c r="O314" t="n">
        <v>0</v>
      </c>
      <c r="P314" t="n">
        <v>0</v>
      </c>
      <c r="Q314" t="n">
        <v>0</v>
      </c>
      <c r="R314" t="n">
        <v>0</v>
      </c>
      <c r="S314" t="n">
        <v>0</v>
      </c>
      <c r="T314" t="n">
        <v>0</v>
      </c>
      <c r="U314" s="2" t="inlineStr"/>
    </row>
    <row r="315" ht="15" customHeight="1">
      <c r="A315" t="inlineStr">
        <is>
          <t>S 3421-2024</t>
        </is>
      </c>
      <c r="B315" t="inlineStr">
        <is>
          <t>samrådsanmälan</t>
        </is>
      </c>
      <c r="C315" t="inlineStr">
        <is>
          <t>Annan skogsbruksåtgärd</t>
        </is>
      </c>
      <c r="D315" s="1" t="n">
        <v>45537</v>
      </c>
      <c r="E315" s="1" t="n">
        <v>46223</v>
      </c>
      <c r="F315" t="inlineStr">
        <is>
          <t>ÖSTERGÖTLANDS LÄN</t>
        </is>
      </c>
      <c r="G315" t="inlineStr">
        <is>
          <t>BOXHOLM</t>
        </is>
      </c>
      <c r="H315" t="inlineStr">
        <is>
          <t>Övriga Aktiebolag</t>
        </is>
      </c>
      <c r="I315" t="n">
        <v>3.1</v>
      </c>
      <c r="J315" t="n">
        <v>0</v>
      </c>
      <c r="K315" t="n">
        <v>0</v>
      </c>
      <c r="L315" t="n">
        <v>0</v>
      </c>
      <c r="M315" t="n">
        <v>0</v>
      </c>
      <c r="N315" t="n">
        <v>0</v>
      </c>
      <c r="O315" t="n">
        <v>0</v>
      </c>
      <c r="P315" t="n">
        <v>0</v>
      </c>
      <c r="Q315" t="n">
        <v>0</v>
      </c>
      <c r="R315" t="n">
        <v>0</v>
      </c>
      <c r="S315" t="n">
        <v>0</v>
      </c>
      <c r="T315" t="n">
        <v>0</v>
      </c>
      <c r="U315" s="2" t="inlineStr"/>
    </row>
    <row r="316" ht="15" customHeight="1">
      <c r="A316" t="inlineStr">
        <is>
          <t>S 2704-2025</t>
        </is>
      </c>
      <c r="B316" t="inlineStr">
        <is>
          <t>samrådsanmälan</t>
        </is>
      </c>
      <c r="C316" t="inlineStr">
        <is>
          <t>Annan skogsbruksåtgärd</t>
        </is>
      </c>
      <c r="D316" s="1" t="n">
        <v>45929</v>
      </c>
      <c r="E316" s="1" t="n">
        <v>46223</v>
      </c>
      <c r="F316" t="inlineStr">
        <is>
          <t>ÖSTERGÖTLANDS LÄN</t>
        </is>
      </c>
      <c r="G316" t="inlineStr">
        <is>
          <t>BOXHOLM</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S 2850-2025</t>
        </is>
      </c>
      <c r="B317" t="inlineStr">
        <is>
          <t>samrådsanmälan</t>
        </is>
      </c>
      <c r="C317" t="inlineStr">
        <is>
          <t>Annan skogsbruksåtgärd</t>
        </is>
      </c>
      <c r="D317" s="1" t="n">
        <v>45943</v>
      </c>
      <c r="E317" s="1" t="n">
        <v>46223</v>
      </c>
      <c r="F317" t="inlineStr">
        <is>
          <t>ÖSTERGÖTLANDS LÄN</t>
        </is>
      </c>
      <c r="G317" t="inlineStr">
        <is>
          <t>BOXHOLM</t>
        </is>
      </c>
      <c r="H317" t="inlineStr">
        <is>
          <t>Övriga Aktiebolag</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S 3421-2025</t>
        </is>
      </c>
      <c r="B318" t="inlineStr">
        <is>
          <t>samrådsanmälan</t>
        </is>
      </c>
      <c r="C318" t="inlineStr">
        <is>
          <t>Annan skogsbruksåtgärd</t>
        </is>
      </c>
      <c r="D318" s="1" t="n">
        <v>45996</v>
      </c>
      <c r="E318" s="1" t="n">
        <v>46223</v>
      </c>
      <c r="F318" t="inlineStr">
        <is>
          <t>ÖSTERGÖTLANDS LÄN</t>
        </is>
      </c>
      <c r="G318" t="inlineStr">
        <is>
          <t>BOXHOLM</t>
        </is>
      </c>
      <c r="H318" t="inlineStr">
        <is>
          <t>Övriga Aktiebolag</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S 3419-2025</t>
        </is>
      </c>
      <c r="B319" t="inlineStr">
        <is>
          <t>samrådsanmälan</t>
        </is>
      </c>
      <c r="C319" t="inlineStr">
        <is>
          <t>Annan skogsbruksåtgärd</t>
        </is>
      </c>
      <c r="D319" s="1" t="n">
        <v>45996</v>
      </c>
      <c r="E319" s="1" t="n">
        <v>46223</v>
      </c>
      <c r="F319" t="inlineStr">
        <is>
          <t>ÖSTERGÖTLANDS LÄN</t>
        </is>
      </c>
      <c r="G319" t="inlineStr">
        <is>
          <t>BOXHOLM</t>
        </is>
      </c>
      <c r="H319" t="inlineStr">
        <is>
          <t>Övriga Aktiebolag</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S 1747-2026</t>
        </is>
      </c>
      <c r="B320" t="inlineStr">
        <is>
          <t>samrådsanmälan</t>
        </is>
      </c>
      <c r="C320" t="inlineStr">
        <is>
          <t>Annan skogsbruksåtgärd</t>
        </is>
      </c>
      <c r="D320" s="1" t="n">
        <v>46189</v>
      </c>
      <c r="E320" s="1" t="n">
        <v>46223</v>
      </c>
      <c r="F320" t="inlineStr">
        <is>
          <t>ÖSTERGÖTLANDS LÄN</t>
        </is>
      </c>
      <c r="G320" t="inlineStr">
        <is>
          <t>BOXHOLM</t>
        </is>
      </c>
      <c r="H320" t="inlineStr">
        <is>
          <t>Övriga Aktiebolag</t>
        </is>
      </c>
      <c r="I320" t="n">
        <v>3.2</v>
      </c>
      <c r="J320" t="n">
        <v>0</v>
      </c>
      <c r="K320" t="n">
        <v>0</v>
      </c>
      <c r="L320" t="n">
        <v>0</v>
      </c>
      <c r="M320" t="n">
        <v>0</v>
      </c>
      <c r="N320" t="n">
        <v>0</v>
      </c>
      <c r="O320" t="n">
        <v>0</v>
      </c>
      <c r="P320" t="n">
        <v>0</v>
      </c>
      <c r="Q320" t="n">
        <v>0</v>
      </c>
      <c r="R320" t="n">
        <v>0</v>
      </c>
      <c r="S320" t="n">
        <v>0</v>
      </c>
      <c r="T320" t="n">
        <v>0</v>
      </c>
      <c r="U320" s="2" t="inlineStr"/>
    </row>
    <row r="321" ht="15" customHeight="1">
      <c r="A321" t="inlineStr">
        <is>
          <t>S 1746-2026</t>
        </is>
      </c>
      <c r="B321" t="inlineStr">
        <is>
          <t>samrådsanmälan</t>
        </is>
      </c>
      <c r="C321" t="inlineStr">
        <is>
          <t>Annan skogsbruksåtgärd</t>
        </is>
      </c>
      <c r="D321" s="1" t="n">
        <v>46189</v>
      </c>
      <c r="E321" s="1" t="n">
        <v>46223</v>
      </c>
      <c r="F321" t="inlineStr">
        <is>
          <t>ÖSTERGÖTLANDS LÄN</t>
        </is>
      </c>
      <c r="G321" t="inlineStr">
        <is>
          <t>BOXHOLM</t>
        </is>
      </c>
      <c r="H321" t="inlineStr">
        <is>
          <t>Övriga Aktiebolag</t>
        </is>
      </c>
      <c r="I321" t="n">
        <v>0.7</v>
      </c>
      <c r="J321" t="n">
        <v>0</v>
      </c>
      <c r="K321" t="n">
        <v>0</v>
      </c>
      <c r="L321" t="n">
        <v>0</v>
      </c>
      <c r="M321" t="n">
        <v>0</v>
      </c>
      <c r="N321" t="n">
        <v>0</v>
      </c>
      <c r="O321" t="n">
        <v>0</v>
      </c>
      <c r="P321" t="n">
        <v>0</v>
      </c>
      <c r="Q321" t="n">
        <v>0</v>
      </c>
      <c r="R321" t="n">
        <v>0</v>
      </c>
      <c r="S321" t="n">
        <v>0</v>
      </c>
      <c r="T321" t="n">
        <v>0</v>
      </c>
      <c r="U321" s="2" t="inlineStr"/>
    </row>
    <row r="322">
      <c r="A322" t="inlineStr">
        <is>
          <t>S 1800-2026</t>
        </is>
      </c>
      <c r="B322" t="inlineStr">
        <is>
          <t>samrådsanmälan</t>
        </is>
      </c>
      <c r="C322" t="inlineStr">
        <is>
          <t>Annan skogsbruksåtgärd</t>
        </is>
      </c>
      <c r="D322" s="1" t="n">
        <v>46196</v>
      </c>
      <c r="E322" s="1" t="n">
        <v>46223</v>
      </c>
      <c r="F322" t="inlineStr">
        <is>
          <t>ÖSTERGÖTLANDS LÄN</t>
        </is>
      </c>
      <c r="G322" t="inlineStr">
        <is>
          <t>BOXHOLM</t>
        </is>
      </c>
      <c r="H322" t="inlineStr">
        <is>
          <t>Övriga Aktiebolag</t>
        </is>
      </c>
      <c r="I322" t="n">
        <v>3.4</v>
      </c>
      <c r="J322" t="n">
        <v>0</v>
      </c>
      <c r="K322" t="n">
        <v>0</v>
      </c>
      <c r="L322" t="n">
        <v>0</v>
      </c>
      <c r="M322" t="n">
        <v>0</v>
      </c>
      <c r="N322" t="n">
        <v>0</v>
      </c>
      <c r="O322" t="n">
        <v>0</v>
      </c>
      <c r="P322" t="n">
        <v>0</v>
      </c>
      <c r="Q322" t="n">
        <v>0</v>
      </c>
      <c r="R322" t="n">
        <v>0</v>
      </c>
      <c r="S322" t="n">
        <v>0</v>
      </c>
      <c r="T322" t="n">
        <v>0</v>
      </c>
      <c r="U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2026-07-20T01:50:06Z</dcterms:created>
  <dcterms:modified xmlns:dcterms="http://purl.org/dc/terms/" xmlns:xsi="http://www.w3.org/2001/XMLSchema-instance" xsi:type="dcterms:W3CDTF">2026-07-20T01:50:06Z</dcterms:modified>
</cp:coreProperties>
</file>