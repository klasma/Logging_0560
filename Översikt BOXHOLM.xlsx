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6405-2022</t>
        </is>
      </c>
      <c r="B2" t="inlineStr">
        <is>
          <t>samrådsanmälan</t>
        </is>
      </c>
      <c r="C2" t="inlineStr">
        <is>
          <t>Askåterföring</t>
        </is>
      </c>
      <c r="D2" s="1" t="n">
        <v>44875</v>
      </c>
      <c r="E2" s="1" t="n">
        <v>46218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2">
        <f>HYPERLINK("https://klasma.github.io/Logging_0560/artfynd/S 6405-2022 artfynd.xlsx", "S 6405-2022")</f>
        <v/>
      </c>
      <c r="W2">
        <f>HYPERLINK("https://klasma.github.io/Logging_0560/kartor/S 6405-2022 karta.png", "S 6405-2022")</f>
        <v/>
      </c>
      <c r="X2">
        <f>HYPERLINK("https://klasma.github.io/Logging_0560/knärot/S 6405-2022 karta knärot.png", "S 6405-2022")</f>
        <v/>
      </c>
      <c r="Y2">
        <f>HYPERLINK("https://klasma.github.io/Logging_0560/klagomål/S 6405-2022 FSC-klagomål.docx", "S 6405-2022")</f>
        <v/>
      </c>
      <c r="Z2">
        <f>HYPERLINK("https://klasma.github.io/Logging_0560/klagomålsmail/S 6405-2022 FSC-klagomål mail.docx", "S 6405-2022")</f>
        <v/>
      </c>
      <c r="AA2">
        <f>HYPERLINK("https://klasma.github.io/Logging_0560/tillsyn/S 6405-2022 tillsynsbegäran.docx", "S 6405-2022")</f>
        <v/>
      </c>
      <c r="AB2">
        <f>HYPERLINK("https://klasma.github.io/Logging_0560/tillsynsmail/S 6405-2022 tillsynsbegäran mail.docx", "S 6405-2022")</f>
        <v/>
      </c>
      <c r="AC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46218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3">
        <f>HYPERLINK("https://klasma.github.io/Logging_0560/artfynd/A 43468-2025 artfynd.xlsx", "A 43468-2025")</f>
        <v/>
      </c>
      <c r="W3">
        <f>HYPERLINK("https://klasma.github.io/Logging_0560/kartor/A 43468-2025 karta.png", "A 43468-2025")</f>
        <v/>
      </c>
      <c r="Y3">
        <f>HYPERLINK("https://klasma.github.io/Logging_0560/klagomål/A 43468-2025 FSC-klagomål.docx", "A 43468-2025")</f>
        <v/>
      </c>
      <c r="Z3">
        <f>HYPERLINK("https://klasma.github.io/Logging_0560/klagomålsmail/A 43468-2025 FSC-klagomål mail.docx", "A 43468-2025")</f>
        <v/>
      </c>
      <c r="AA3">
        <f>HYPERLINK("https://klasma.github.io/Logging_0560/tillsyn/A 43468-2025 tillsynsbegäran.docx", "A 43468-2025")</f>
        <v/>
      </c>
      <c r="AB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46218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s="2" t="inlineStr">
        <is>
          <t>Ärtvicker
Bredbrämad bastardsvärmare
Mindre bastardsvärmare
Smalsprötad bastardsvärmare
Bergjohannesört
Gullklöver
Klubbsprötad bastardsvärmare
Slåtterfibbla
Svinrot
Vippärt</t>
        </is>
      </c>
      <c r="V4">
        <f>HYPERLINK("https://klasma.github.io/Logging_0560/artfynd/S 2493-2025 artfynd.xlsx", "S 2493-2025")</f>
        <v/>
      </c>
      <c r="W4">
        <f>HYPERLINK("https://klasma.github.io/Logging_0560/kartor/S 2493-2025 karta.png", "S 2493-2025")</f>
        <v/>
      </c>
      <c r="Y4">
        <f>HYPERLINK("https://klasma.github.io/Logging_0560/klagomål/S 2493-2025 FSC-klagomål.docx", "S 2493-2025")</f>
        <v/>
      </c>
      <c r="Z4">
        <f>HYPERLINK("https://klasma.github.io/Logging_0560/klagomålsmail/S 2493-2025 FSC-klagomål mail.docx", "S 2493-2025")</f>
        <v/>
      </c>
      <c r="AA4">
        <f>HYPERLINK("https://klasma.github.io/Logging_0560/tillsyn/S 2493-2025 tillsynsbegäran.docx", "S 2493-2025")</f>
        <v/>
      </c>
      <c r="AB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46218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s="2" t="inlineStr">
        <is>
          <t>Grönfink
Gulsparv
Talltita
Spillkråka
Gröngöling
Grönsiska
Sångsvan
Revlummer</t>
        </is>
      </c>
      <c r="V5">
        <f>HYPERLINK("https://klasma.github.io/Logging_0560/artfynd/A 61791-2025 artfynd.xlsx", "A 61791-2025")</f>
        <v/>
      </c>
      <c r="W5">
        <f>HYPERLINK("https://klasma.github.io/Logging_0560/kartor/A 61791-2025 karta.png", "A 61791-2025")</f>
        <v/>
      </c>
      <c r="Y5">
        <f>HYPERLINK("https://klasma.github.io/Logging_0560/klagomål/A 61791-2025 FSC-klagomål.docx", "A 61791-2025")</f>
        <v/>
      </c>
      <c r="Z5">
        <f>HYPERLINK("https://klasma.github.io/Logging_0560/klagomålsmail/A 61791-2025 FSC-klagomål mail.docx", "A 61791-2025")</f>
        <v/>
      </c>
      <c r="AA5">
        <f>HYPERLINK("https://klasma.github.io/Logging_0560/tillsyn/A 61791-2025 tillsynsbegäran.docx", "A 61791-2025")</f>
        <v/>
      </c>
      <c r="AB5">
        <f>HYPERLINK("https://klasma.github.io/Logging_0560/tillsynsmail/A 61791-2025 tillsynsbegäran mail.docx", "A 61791-2025")</f>
        <v/>
      </c>
      <c r="AC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46218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s="2" t="inlineStr">
        <is>
          <t>Ask
Bredgentiana
Fältgentiana
Sommarfibbla
Svinrot
Svart trolldruva
Tibast
Blåsippa</t>
        </is>
      </c>
      <c r="V6">
        <f>HYPERLINK("https://klasma.github.io/Logging_0560/artfynd/S 6650-2022 artfynd.xlsx", "S 6650-2022")</f>
        <v/>
      </c>
      <c r="W6">
        <f>HYPERLINK("https://klasma.github.io/Logging_0560/kartor/S 6650-2022 karta.png", "S 6650-2022")</f>
        <v/>
      </c>
      <c r="Y6">
        <f>HYPERLINK("https://klasma.github.io/Logging_0560/klagomål/S 6650-2022 FSC-klagomål.docx", "S 6650-2022")</f>
        <v/>
      </c>
      <c r="Z6">
        <f>HYPERLINK("https://klasma.github.io/Logging_0560/klagomålsmail/S 6650-2022 FSC-klagomål mail.docx", "S 6650-2022")</f>
        <v/>
      </c>
      <c r="AA6">
        <f>HYPERLINK("https://klasma.github.io/Logging_0560/tillsyn/S 6650-2022 tillsynsbegäran.docx", "S 6650-2022")</f>
        <v/>
      </c>
      <c r="AB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46218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s="2" t="inlineStr">
        <is>
          <t>Ask
Gul dropplav
Oxtungssvamp
Fällmossa
Guldlockmossa
Platt fjädermossa
Blåsippa</t>
        </is>
      </c>
      <c r="V7">
        <f>HYPERLINK("https://klasma.github.io/Logging_0560/artfynd/A 62741-2025 artfynd.xlsx", "A 62741-2025")</f>
        <v/>
      </c>
      <c r="W7">
        <f>HYPERLINK("https://klasma.github.io/Logging_0560/kartor/A 62741-2025 karta.png", "A 62741-2025")</f>
        <v/>
      </c>
      <c r="Y7">
        <f>HYPERLINK("https://klasma.github.io/Logging_0560/klagomål/A 62741-2025 FSC-klagomål.docx", "A 62741-2025")</f>
        <v/>
      </c>
      <c r="Z7">
        <f>HYPERLINK("https://klasma.github.io/Logging_0560/klagomålsmail/A 62741-2025 FSC-klagomål mail.docx", "A 62741-2025")</f>
        <v/>
      </c>
      <c r="AA7">
        <f>HYPERLINK("https://klasma.github.io/Logging_0560/tillsyn/A 62741-2025 tillsynsbegäran.docx", "A 62741-2025")</f>
        <v/>
      </c>
      <c r="AB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46218</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s="2" t="inlineStr">
        <is>
          <t>Ärtvicker
Bergjohannesört
Gullklöver
Slåtterfibbla
Svinrot
Vippärt</t>
        </is>
      </c>
      <c r="V8">
        <f>HYPERLINK("https://klasma.github.io/Logging_0560/artfynd/A 42147-2025 artfynd.xlsx", "A 42147-2025")</f>
        <v/>
      </c>
      <c r="W8">
        <f>HYPERLINK("https://klasma.github.io/Logging_0560/kartor/A 42147-2025 karta.png", "A 42147-2025")</f>
        <v/>
      </c>
      <c r="Y8">
        <f>HYPERLINK("https://klasma.github.io/Logging_0560/klagomål/A 42147-2025 FSC-klagomål.docx", "A 42147-2025")</f>
        <v/>
      </c>
      <c r="Z8">
        <f>HYPERLINK("https://klasma.github.io/Logging_0560/klagomålsmail/A 42147-2025 FSC-klagomål mail.docx", "A 42147-2025")</f>
        <v/>
      </c>
      <c r="AA8">
        <f>HYPERLINK("https://klasma.github.io/Logging_0560/tillsyn/A 42147-2025 tillsynsbegäran.docx", "A 42147-2025")</f>
        <v/>
      </c>
      <c r="AB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46218</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s="2" t="inlineStr">
        <is>
          <t>Fällmossa
Grov fjädermossa
Platt fjädermossa
Tibast
Trädporella</t>
        </is>
      </c>
      <c r="V9">
        <f>HYPERLINK("https://klasma.github.io/Logging_0560/artfynd/A 11401-2024 artfynd.xlsx", "A 11401-2024")</f>
        <v/>
      </c>
      <c r="W9">
        <f>HYPERLINK("https://klasma.github.io/Logging_0560/kartor/A 11401-2024 karta.png", "A 11401-2024")</f>
        <v/>
      </c>
      <c r="Y9">
        <f>HYPERLINK("https://klasma.github.io/Logging_0560/klagomål/A 11401-2024 FSC-klagomål.docx", "A 11401-2024")</f>
        <v/>
      </c>
      <c r="Z9">
        <f>HYPERLINK("https://klasma.github.io/Logging_0560/klagomålsmail/A 11401-2024 FSC-klagomål mail.docx", "A 11401-2024")</f>
        <v/>
      </c>
      <c r="AA9">
        <f>HYPERLINK("https://klasma.github.io/Logging_0560/tillsyn/A 11401-2024 tillsynsbegäran.docx", "A 11401-2024")</f>
        <v/>
      </c>
      <c r="AB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46218</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s="2" t="inlineStr">
        <is>
          <t>Svart trolldruva
Blåsippa
Grönvit nattviol
Revlummer</t>
        </is>
      </c>
      <c r="V10">
        <f>HYPERLINK("https://klasma.github.io/Logging_0560/artfynd/A 40119-2025 artfynd.xlsx", "A 40119-2025")</f>
        <v/>
      </c>
      <c r="W10">
        <f>HYPERLINK("https://klasma.github.io/Logging_0560/kartor/A 40119-2025 karta.png", "A 40119-2025")</f>
        <v/>
      </c>
      <c r="Y10">
        <f>HYPERLINK("https://klasma.github.io/Logging_0560/klagomål/A 40119-2025 FSC-klagomål.docx", "A 40119-2025")</f>
        <v/>
      </c>
      <c r="Z10">
        <f>HYPERLINK("https://klasma.github.io/Logging_0560/klagomålsmail/A 40119-2025 FSC-klagomål mail.docx", "A 40119-2025")</f>
        <v/>
      </c>
      <c r="AA10">
        <f>HYPERLINK("https://klasma.github.io/Logging_0560/tillsyn/A 40119-2025 tillsynsbegäran.docx", "A 40119-2025")</f>
        <v/>
      </c>
      <c r="AB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46218</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s="2" t="inlineStr">
        <is>
          <t>Skogsalm
Svinrot
Blåsippa
Gullviva</t>
        </is>
      </c>
      <c r="V11">
        <f>HYPERLINK("https://klasma.github.io/Logging_0560/artfynd/A 59418-2022 artfynd.xlsx", "A 59418-2022")</f>
        <v/>
      </c>
      <c r="W11">
        <f>HYPERLINK("https://klasma.github.io/Logging_0560/kartor/A 59418-2022 karta.png", "A 59418-2022")</f>
        <v/>
      </c>
      <c r="Y11">
        <f>HYPERLINK("https://klasma.github.io/Logging_0560/klagomål/A 59418-2022 FSC-klagomål.docx", "A 59418-2022")</f>
        <v/>
      </c>
      <c r="Z11">
        <f>HYPERLINK("https://klasma.github.io/Logging_0560/klagomålsmail/A 59418-2022 FSC-klagomål mail.docx", "A 59418-2022")</f>
        <v/>
      </c>
      <c r="AA11">
        <f>HYPERLINK("https://klasma.github.io/Logging_0560/tillsyn/A 59418-2022 tillsynsbegäran.docx", "A 59418-2022")</f>
        <v/>
      </c>
      <c r="AB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46218</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s="2" t="inlineStr">
        <is>
          <t>Talltita
Kråka
Kungsfågel
Orre</t>
        </is>
      </c>
      <c r="V12">
        <f>HYPERLINK("https://klasma.github.io/Logging_0560/artfynd/A 61789-2025 artfynd.xlsx", "A 61789-2025")</f>
        <v/>
      </c>
      <c r="W12">
        <f>HYPERLINK("https://klasma.github.io/Logging_0560/kartor/A 61789-2025 karta.png", "A 61789-2025")</f>
        <v/>
      </c>
      <c r="Y12">
        <f>HYPERLINK("https://klasma.github.io/Logging_0560/klagomål/A 61789-2025 FSC-klagomål.docx", "A 61789-2025")</f>
        <v/>
      </c>
      <c r="Z12">
        <f>HYPERLINK("https://klasma.github.io/Logging_0560/klagomålsmail/A 61789-2025 FSC-klagomål mail.docx", "A 61789-2025")</f>
        <v/>
      </c>
      <c r="AA12">
        <f>HYPERLINK("https://klasma.github.io/Logging_0560/tillsyn/A 61789-2025 tillsynsbegäran.docx", "A 61789-2025")</f>
        <v/>
      </c>
      <c r="AB12">
        <f>HYPERLINK("https://klasma.github.io/Logging_0560/tillsynsmail/A 61789-2025 tillsynsbegäran mail.docx", "A 61789-2025")</f>
        <v/>
      </c>
      <c r="AC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46218</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s="2" t="inlineStr">
        <is>
          <t>Gammelekslav
Rosa skärelav
Skuggorangelav
Tallticka</t>
        </is>
      </c>
      <c r="V13">
        <f>HYPERLINK("https://klasma.github.io/Logging_0560/artfynd/S 2242-2025 artfynd.xlsx", "S 2242-2025")</f>
        <v/>
      </c>
      <c r="W13">
        <f>HYPERLINK("https://klasma.github.io/Logging_0560/kartor/S 2242-2025 karta.png", "S 2242-2025")</f>
        <v/>
      </c>
      <c r="Y13">
        <f>HYPERLINK("https://klasma.github.io/Logging_0560/klagomål/S 2242-2025 FSC-klagomål.docx", "S 2242-2025")</f>
        <v/>
      </c>
      <c r="Z13">
        <f>HYPERLINK("https://klasma.github.io/Logging_0560/klagomålsmail/S 2242-2025 FSC-klagomål mail.docx", "S 2242-2025")</f>
        <v/>
      </c>
      <c r="AA13">
        <f>HYPERLINK("https://klasma.github.io/Logging_0560/tillsyn/S 2242-2025 tillsynsbegäran.docx", "S 2242-2025")</f>
        <v/>
      </c>
      <c r="AB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46218</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s="2" t="inlineStr">
        <is>
          <t>Hässleklocka
Svart trolldruva
Underviol</t>
        </is>
      </c>
      <c r="V14">
        <f>HYPERLINK("https://klasma.github.io/Logging_0560/artfynd/A 35665-2024 artfynd.xlsx", "A 35665-2024")</f>
        <v/>
      </c>
      <c r="W14">
        <f>HYPERLINK("https://klasma.github.io/Logging_0560/kartor/A 35665-2024 karta.png", "A 35665-2024")</f>
        <v/>
      </c>
      <c r="Y14">
        <f>HYPERLINK("https://klasma.github.io/Logging_0560/klagomål/A 35665-2024 FSC-klagomål.docx", "A 35665-2024")</f>
        <v/>
      </c>
      <c r="Z14">
        <f>HYPERLINK("https://klasma.github.io/Logging_0560/klagomålsmail/A 35665-2024 FSC-klagomål mail.docx", "A 35665-2024")</f>
        <v/>
      </c>
      <c r="AA14">
        <f>HYPERLINK("https://klasma.github.io/Logging_0560/tillsyn/A 35665-2024 tillsynsbegäran.docx", "A 35665-2024")</f>
        <v/>
      </c>
      <c r="AB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46218</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s="2" t="inlineStr">
        <is>
          <t>Gammelekslav
Rosa skärelav
Skuggorangelav</t>
        </is>
      </c>
      <c r="V15">
        <f>HYPERLINK("https://klasma.github.io/Logging_0560/artfynd/A 36575-2025 artfynd.xlsx", "A 36575-2025")</f>
        <v/>
      </c>
      <c r="W15">
        <f>HYPERLINK("https://klasma.github.io/Logging_0560/kartor/A 36575-2025 karta.png", "A 36575-2025")</f>
        <v/>
      </c>
      <c r="Y15">
        <f>HYPERLINK("https://klasma.github.io/Logging_0560/klagomål/A 36575-2025 FSC-klagomål.docx", "A 36575-2025")</f>
        <v/>
      </c>
      <c r="Z15">
        <f>HYPERLINK("https://klasma.github.io/Logging_0560/klagomålsmail/A 36575-2025 FSC-klagomål mail.docx", "A 36575-2025")</f>
        <v/>
      </c>
      <c r="AA15">
        <f>HYPERLINK("https://klasma.github.io/Logging_0560/tillsyn/A 36575-2025 tillsynsbegäran.docx", "A 36575-2025")</f>
        <v/>
      </c>
      <c r="AB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46218</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s="2" t="inlineStr">
        <is>
          <t>Lungrot
Fällmossa
Svart trolldruva</t>
        </is>
      </c>
      <c r="V16">
        <f>HYPERLINK("https://klasma.github.io/Logging_0560/artfynd/A 62647-2025 artfynd.xlsx", "A 62647-2025")</f>
        <v/>
      </c>
      <c r="W16">
        <f>HYPERLINK("https://klasma.github.io/Logging_0560/kartor/A 62647-2025 karta.png", "A 62647-2025")</f>
        <v/>
      </c>
      <c r="Y16">
        <f>HYPERLINK("https://klasma.github.io/Logging_0560/klagomål/A 62647-2025 FSC-klagomål.docx", "A 62647-2025")</f>
        <v/>
      </c>
      <c r="Z16">
        <f>HYPERLINK("https://klasma.github.io/Logging_0560/klagomålsmail/A 62647-2025 FSC-klagomål mail.docx", "A 62647-2025")</f>
        <v/>
      </c>
      <c r="AA16">
        <f>HYPERLINK("https://klasma.github.io/Logging_0560/tillsyn/A 62647-2025 tillsynsbegäran.docx", "A 62647-2025")</f>
        <v/>
      </c>
      <c r="AB16">
        <f>HYPERLINK("https://klasma.github.io/Logging_0560/tillsynsmail/A 62647-2025 tillsynsbegäran mail.docx", "A 62647-2025")</f>
        <v/>
      </c>
    </row>
    <row r="17" ht="15" customHeight="1">
      <c r="A17" t="inlineStr">
        <is>
          <t>A 62659-2025</t>
        </is>
      </c>
      <c r="B17" t="inlineStr">
        <is>
          <t>avverkningsanmälan</t>
        </is>
      </c>
      <c r="C17" t="inlineStr">
        <is>
          <t>Avverkning för att bevara och utveckla /försöksver</t>
        </is>
      </c>
      <c r="D17" s="1" t="n">
        <v>46008</v>
      </c>
      <c r="E17" s="1" t="n">
        <v>46218</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s="2" t="inlineStr">
        <is>
          <t>Fällmossa
Platt fjädermossa
Svart trolldruva</t>
        </is>
      </c>
      <c r="V17">
        <f>HYPERLINK("https://klasma.github.io/Logging_0560/artfynd/A 62659-2025 artfynd.xlsx", "A 62659-2025")</f>
        <v/>
      </c>
      <c r="W17">
        <f>HYPERLINK("https://klasma.github.io/Logging_0560/kartor/A 62659-2025 karta.png", "A 62659-2025")</f>
        <v/>
      </c>
      <c r="Y17">
        <f>HYPERLINK("https://klasma.github.io/Logging_0560/klagomål/A 62659-2025 FSC-klagomål.docx", "A 62659-2025")</f>
        <v/>
      </c>
      <c r="Z17">
        <f>HYPERLINK("https://klasma.github.io/Logging_0560/klagomålsmail/A 62659-2025 FSC-klagomål mail.docx", "A 62659-2025")</f>
        <v/>
      </c>
      <c r="AA17">
        <f>HYPERLINK("https://klasma.github.io/Logging_0560/tillsyn/A 62659-2025 tillsynsbegäran.docx", "A 62659-2025")</f>
        <v/>
      </c>
      <c r="AB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46218</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s="2" t="inlineStr">
        <is>
          <t>Fällmossa
Rostfläck
Svart trolldruva</t>
        </is>
      </c>
      <c r="V18">
        <f>HYPERLINK("https://klasma.github.io/Logging_0560/artfynd/A 590-2026 artfynd.xlsx", "A 590-2026")</f>
        <v/>
      </c>
      <c r="W18">
        <f>HYPERLINK("https://klasma.github.io/Logging_0560/kartor/A 590-2026 karta.png", "A 590-2026")</f>
        <v/>
      </c>
      <c r="Y18">
        <f>HYPERLINK("https://klasma.github.io/Logging_0560/klagomål/A 590-2026 FSC-klagomål.docx", "A 590-2026")</f>
        <v/>
      </c>
      <c r="Z18">
        <f>HYPERLINK("https://klasma.github.io/Logging_0560/klagomålsmail/A 590-2026 FSC-klagomål mail.docx", "A 590-2026")</f>
        <v/>
      </c>
      <c r="AA18">
        <f>HYPERLINK("https://klasma.github.io/Logging_0560/tillsyn/A 590-2026 tillsynsbegäran.docx", "A 590-2026")</f>
        <v/>
      </c>
      <c r="AB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46218</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s="2" t="inlineStr">
        <is>
          <t>Ask
Svart trolldruva
Blåsippa</t>
        </is>
      </c>
      <c r="V19">
        <f>HYPERLINK("https://klasma.github.io/Logging_0560/artfynd/A 19066-2026 artfynd.xlsx", "A 19066-2026")</f>
        <v/>
      </c>
      <c r="W19">
        <f>HYPERLINK("https://klasma.github.io/Logging_0560/kartor/A 19066-2026 karta.png", "A 19066-2026")</f>
        <v/>
      </c>
      <c r="Y19">
        <f>HYPERLINK("https://klasma.github.io/Logging_0560/klagomål/A 19066-2026 FSC-klagomål.docx", "A 19066-2026")</f>
        <v/>
      </c>
      <c r="Z19">
        <f>HYPERLINK("https://klasma.github.io/Logging_0560/klagomålsmail/A 19066-2026 FSC-klagomål mail.docx", "A 19066-2026")</f>
        <v/>
      </c>
      <c r="AA19">
        <f>HYPERLINK("https://klasma.github.io/Logging_0560/tillsyn/A 19066-2026 tillsynsbegäran.docx", "A 19066-2026")</f>
        <v/>
      </c>
      <c r="AB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46218</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s="2" t="inlineStr">
        <is>
          <t>Grådådra
Gullklöver
Ängsskära</t>
        </is>
      </c>
      <c r="V20">
        <f>HYPERLINK("https://klasma.github.io/Logging_0560/artfynd/S 8363-2021 artfynd.xlsx", "S 8363-2021")</f>
        <v/>
      </c>
      <c r="W20">
        <f>HYPERLINK("https://klasma.github.io/Logging_0560/kartor/S 8363-2021 karta.png", "S 8363-2021")</f>
        <v/>
      </c>
      <c r="Y20">
        <f>HYPERLINK("https://klasma.github.io/Logging_0560/klagomål/S 8363-2021 FSC-klagomål.docx", "S 8363-2021")</f>
        <v/>
      </c>
      <c r="Z20">
        <f>HYPERLINK("https://klasma.github.io/Logging_0560/klagomålsmail/S 8363-2021 FSC-klagomål mail.docx", "S 8363-2021")</f>
        <v/>
      </c>
      <c r="AA20">
        <f>HYPERLINK("https://klasma.github.io/Logging_0560/tillsyn/S 8363-2021 tillsynsbegäran.docx", "S 8363-2021")</f>
        <v/>
      </c>
      <c r="AB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46218</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s="2" t="inlineStr">
        <is>
          <t>Korallticka
Fällmossa
Stubbspretmossa</t>
        </is>
      </c>
      <c r="V21">
        <f>HYPERLINK("https://klasma.github.io/Logging_0560/artfynd/S 3422-2025 artfynd.xlsx", "S 3422-2025")</f>
        <v/>
      </c>
      <c r="W21">
        <f>HYPERLINK("https://klasma.github.io/Logging_0560/kartor/S 3422-2025 karta.png", "S 3422-2025")</f>
        <v/>
      </c>
      <c r="Y21">
        <f>HYPERLINK("https://klasma.github.io/Logging_0560/klagomål/S 3422-2025 FSC-klagomål.docx", "S 3422-2025")</f>
        <v/>
      </c>
      <c r="Z21">
        <f>HYPERLINK("https://klasma.github.io/Logging_0560/klagomålsmail/S 3422-2025 FSC-klagomål mail.docx", "S 3422-2025")</f>
        <v/>
      </c>
      <c r="AA21">
        <f>HYPERLINK("https://klasma.github.io/Logging_0560/tillsyn/S 3422-2025 tillsynsbegäran.docx", "S 3422-2025")</f>
        <v/>
      </c>
      <c r="AB21">
        <f>HYPERLINK("https://klasma.github.io/Logging_0560/tillsynsmail/S 3422-2025 tillsynsbegäran mail.docx", "S 3422-2025")</f>
        <v/>
      </c>
    </row>
    <row r="22" ht="15" customHeight="1">
      <c r="A22" t="inlineStr">
        <is>
          <t>A 40509-2023</t>
        </is>
      </c>
      <c r="B22" t="inlineStr">
        <is>
          <t>avverkningsanmälan</t>
        </is>
      </c>
      <c r="C22" t="inlineStr">
        <is>
          <t>Föryngringsavverkning</t>
        </is>
      </c>
      <c r="D22" s="1" t="n">
        <v>45170</v>
      </c>
      <c r="E22" s="1" t="n">
        <v>46218</v>
      </c>
      <c r="F22" t="inlineStr">
        <is>
          <t>ÖSTERGÖTLANDS LÄN</t>
        </is>
      </c>
      <c r="G22" t="inlineStr">
        <is>
          <t>BOXHOLM</t>
        </is>
      </c>
      <c r="H22" t="inlineStr">
        <is>
          <t>Kyrkan</t>
        </is>
      </c>
      <c r="I22" t="n">
        <v>3.4</v>
      </c>
      <c r="J22" t="n">
        <v>1</v>
      </c>
      <c r="K22" t="n">
        <v>1</v>
      </c>
      <c r="L22" t="n">
        <v>0</v>
      </c>
      <c r="M22" t="n">
        <v>0</v>
      </c>
      <c r="N22" t="n">
        <v>0</v>
      </c>
      <c r="O22" t="n">
        <v>0</v>
      </c>
      <c r="P22" t="n">
        <v>0</v>
      </c>
      <c r="Q22" t="n">
        <v>0</v>
      </c>
      <c r="R22" t="n">
        <v>0</v>
      </c>
      <c r="S22" t="n">
        <v>2</v>
      </c>
      <c r="T22" t="n">
        <v>2</v>
      </c>
      <c r="U22" s="2" t="inlineStr">
        <is>
          <t>Fällmossa
Blåsippa</t>
        </is>
      </c>
      <c r="V22">
        <f>HYPERLINK("https://klasma.github.io/Logging_0560/artfynd/A 40509-2023 artfynd.xlsx", "A 40509-2023")</f>
        <v/>
      </c>
      <c r="W22">
        <f>HYPERLINK("https://klasma.github.io/Logging_0560/kartor/A 40509-2023 karta.png", "A 40509-2023")</f>
        <v/>
      </c>
      <c r="Y22">
        <f>HYPERLINK("https://klasma.github.io/Logging_0560/klagomål/A 40509-2023 FSC-klagomål.docx", "A 40509-2023")</f>
        <v/>
      </c>
      <c r="Z22">
        <f>HYPERLINK("https://klasma.github.io/Logging_0560/klagomålsmail/A 40509-2023 FSC-klagomål mail.docx", "A 40509-2023")</f>
        <v/>
      </c>
      <c r="AA22">
        <f>HYPERLINK("https://klasma.github.io/Logging_0560/tillsyn/A 40509-2023 tillsynsbegäran.docx", "A 40509-2023")</f>
        <v/>
      </c>
      <c r="AB22">
        <f>HYPERLINK("https://klasma.github.io/Logging_0560/tillsynsmail/A 40509-2023 tillsynsbegäran mail.docx", "A 40509-2023")</f>
        <v/>
      </c>
    </row>
    <row r="23" ht="15" customHeight="1">
      <c r="A23" t="inlineStr">
        <is>
          <t>A 26638-2023</t>
        </is>
      </c>
      <c r="B23" t="inlineStr">
        <is>
          <t>avverkningsanmälan</t>
        </is>
      </c>
      <c r="C23" t="inlineStr">
        <is>
          <t>Föryngringsavverkning</t>
        </is>
      </c>
      <c r="D23" s="1" t="n">
        <v>45092</v>
      </c>
      <c r="E23" s="1" t="n">
        <v>46218</v>
      </c>
      <c r="F23" t="inlineStr">
        <is>
          <t>ÖSTERGÖTLANDS LÄN</t>
        </is>
      </c>
      <c r="G23" t="inlineStr">
        <is>
          <t>BOXHOLM</t>
        </is>
      </c>
      <c r="H23" t="inlineStr">
        <is>
          <t>Allmännings- och besparingsskogar</t>
        </is>
      </c>
      <c r="I23" t="n">
        <v>8.4</v>
      </c>
      <c r="J23" t="n">
        <v>0</v>
      </c>
      <c r="K23" t="n">
        <v>0</v>
      </c>
      <c r="L23" t="n">
        <v>2</v>
      </c>
      <c r="M23" t="n">
        <v>0</v>
      </c>
      <c r="N23" t="n">
        <v>0</v>
      </c>
      <c r="O23" t="n">
        <v>0</v>
      </c>
      <c r="P23" t="n">
        <v>0</v>
      </c>
      <c r="Q23" t="n">
        <v>2</v>
      </c>
      <c r="R23" t="n">
        <v>0</v>
      </c>
      <c r="S23" t="n">
        <v>2</v>
      </c>
      <c r="T23" t="n">
        <v>2</v>
      </c>
      <c r="U23" s="2" t="inlineStr">
        <is>
          <t>Ullticka
Vedtrappmossa</t>
        </is>
      </c>
      <c r="V23">
        <f>HYPERLINK("https://klasma.github.io/Logging_0560/artfynd/A 26638-2023 artfynd.xlsx", "A 26638-2023")</f>
        <v/>
      </c>
      <c r="W23">
        <f>HYPERLINK("https://klasma.github.io/Logging_0560/kartor/A 26638-2023 karta.png", "A 26638-2023")</f>
        <v/>
      </c>
      <c r="Y23">
        <f>HYPERLINK("https://klasma.github.io/Logging_0560/klagomål/A 26638-2023 FSC-klagomål.docx", "A 26638-2023")</f>
        <v/>
      </c>
      <c r="Z23">
        <f>HYPERLINK("https://klasma.github.io/Logging_0560/klagomålsmail/A 26638-2023 FSC-klagomål mail.docx", "A 26638-2023")</f>
        <v/>
      </c>
      <c r="AA23">
        <f>HYPERLINK("https://klasma.github.io/Logging_0560/tillsyn/A 26638-2023 tillsynsbegäran.docx", "A 26638-2023")</f>
        <v/>
      </c>
      <c r="AB23">
        <f>HYPERLINK("https://klasma.github.io/Logging_0560/tillsynsmail/A 26638-2023 tillsynsbegäran mail.docx", "A 26638-2023")</f>
        <v/>
      </c>
    </row>
    <row r="24" ht="15" customHeight="1">
      <c r="A24" t="inlineStr">
        <is>
          <t>A 26907-2022</t>
        </is>
      </c>
      <c r="B24" t="inlineStr">
        <is>
          <t>avverkningsanmälan</t>
        </is>
      </c>
      <c r="C24" t="inlineStr">
        <is>
          <t>Föryngringsavverkning</t>
        </is>
      </c>
      <c r="D24" s="1" t="n">
        <v>44740</v>
      </c>
      <c r="E24" s="1" t="n">
        <v>46218</v>
      </c>
      <c r="F24" t="inlineStr">
        <is>
          <t>ÖSTERGÖTLANDS LÄN</t>
        </is>
      </c>
      <c r="G24" t="inlineStr">
        <is>
          <t>BOXHOLM</t>
        </is>
      </c>
      <c r="H24" t="inlineStr">
        <is>
          <t>Övriga Aktiebolag</t>
        </is>
      </c>
      <c r="I24" t="n">
        <v>4.7</v>
      </c>
      <c r="J24" t="n">
        <v>2</v>
      </c>
      <c r="K24" t="n">
        <v>0</v>
      </c>
      <c r="L24" t="n">
        <v>0</v>
      </c>
      <c r="M24" t="n">
        <v>0</v>
      </c>
      <c r="N24" t="n">
        <v>0</v>
      </c>
      <c r="O24" t="n">
        <v>0</v>
      </c>
      <c r="P24" t="n">
        <v>0</v>
      </c>
      <c r="Q24" t="n">
        <v>0</v>
      </c>
      <c r="R24" t="n">
        <v>0</v>
      </c>
      <c r="S24" t="n">
        <v>2</v>
      </c>
      <c r="T24" t="n">
        <v>2</v>
      </c>
      <c r="U24" s="2" t="inlineStr">
        <is>
          <t>Hasselmus
Orre</t>
        </is>
      </c>
      <c r="V24">
        <f>HYPERLINK("https://klasma.github.io/Logging_0560/artfynd/A 26907-2022 artfynd.xlsx", "A 26907-2022")</f>
        <v/>
      </c>
      <c r="W24">
        <f>HYPERLINK("https://klasma.github.io/Logging_0560/kartor/A 26907-2022 karta.png", "A 26907-2022")</f>
        <v/>
      </c>
      <c r="Y24">
        <f>HYPERLINK("https://klasma.github.io/Logging_0560/klagomål/A 26907-2022 FSC-klagomål.docx", "A 26907-2022")</f>
        <v/>
      </c>
      <c r="Z24">
        <f>HYPERLINK("https://klasma.github.io/Logging_0560/klagomålsmail/A 26907-2022 FSC-klagomål mail.docx", "A 26907-2022")</f>
        <v/>
      </c>
      <c r="AA24">
        <f>HYPERLINK("https://klasma.github.io/Logging_0560/tillsyn/A 26907-2022 tillsynsbegäran.docx", "A 26907-2022")</f>
        <v/>
      </c>
      <c r="AB24">
        <f>HYPERLINK("https://klasma.github.io/Logging_0560/tillsynsmail/A 26907-2022 tillsynsbegäran mail.docx", "A 26907-2022")</f>
        <v/>
      </c>
      <c r="AC24">
        <f>HYPERLINK("https://klasma.github.io/Logging_0560/fåglar/A 26907-2022 prioriterade fågelarter.docx", "A 26907-2022")</f>
        <v/>
      </c>
    </row>
    <row r="25" ht="15" customHeight="1">
      <c r="A25" t="inlineStr">
        <is>
          <t>A 61795-2025</t>
        </is>
      </c>
      <c r="B25" t="inlineStr">
        <is>
          <t>avverkningsanmälan</t>
        </is>
      </c>
      <c r="C25" t="inlineStr">
        <is>
          <t>Föryngringsavverkning</t>
        </is>
      </c>
      <c r="D25" s="1" t="n">
        <v>46002</v>
      </c>
      <c r="E25" s="1" t="n">
        <v>46218</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s="2" t="inlineStr">
        <is>
          <t>Knärot
Kolflarnlav</t>
        </is>
      </c>
      <c r="V25">
        <f>HYPERLINK("https://klasma.github.io/Logging_0560/artfynd/A 61795-2025 artfynd.xlsx", "A 61795-2025")</f>
        <v/>
      </c>
      <c r="W25">
        <f>HYPERLINK("https://klasma.github.io/Logging_0560/kartor/A 61795-2025 karta.png", "A 61795-2025")</f>
        <v/>
      </c>
      <c r="X25">
        <f>HYPERLINK("https://klasma.github.io/Logging_0560/knärot/A 61795-2025 karta knärot.png", "A 61795-2025")</f>
        <v/>
      </c>
      <c r="Y25">
        <f>HYPERLINK("https://klasma.github.io/Logging_0560/klagomål/A 61795-2025 FSC-klagomål.docx", "A 61795-2025")</f>
        <v/>
      </c>
      <c r="Z25">
        <f>HYPERLINK("https://klasma.github.io/Logging_0560/klagomålsmail/A 61795-2025 FSC-klagomål mail.docx", "A 61795-2025")</f>
        <v/>
      </c>
      <c r="AA25">
        <f>HYPERLINK("https://klasma.github.io/Logging_0560/tillsyn/A 61795-2025 tillsynsbegäran.docx", "A 61795-2025")</f>
        <v/>
      </c>
      <c r="AB25">
        <f>HYPERLINK("https://klasma.github.io/Logging_0560/tillsynsmail/A 61795-2025 tillsynsbegäran mail.docx", "A 61795-2025")</f>
        <v/>
      </c>
    </row>
    <row r="26" ht="15" customHeight="1">
      <c r="A26" t="inlineStr">
        <is>
          <t>A 4004-2026</t>
        </is>
      </c>
      <c r="B26" t="inlineStr">
        <is>
          <t>avverkningsanmälan</t>
        </is>
      </c>
      <c r="C26" t="inlineStr">
        <is>
          <t>Föryngringsavverkning</t>
        </is>
      </c>
      <c r="D26" s="1" t="n">
        <v>46044</v>
      </c>
      <c r="E26" s="1" t="n">
        <v>46218</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s="2" t="inlineStr">
        <is>
          <t>Krokfibbla
Blåsippa</t>
        </is>
      </c>
      <c r="V26">
        <f>HYPERLINK("https://klasma.github.io/Logging_0560/artfynd/A 4004-2026 artfynd.xlsx", "A 4004-2026")</f>
        <v/>
      </c>
      <c r="W26">
        <f>HYPERLINK("https://klasma.github.io/Logging_0560/kartor/A 4004-2026 karta.png", "A 4004-2026")</f>
        <v/>
      </c>
      <c r="Y26">
        <f>HYPERLINK("https://klasma.github.io/Logging_0560/klagomål/A 4004-2026 FSC-klagomål.docx", "A 4004-2026")</f>
        <v/>
      </c>
      <c r="Z26">
        <f>HYPERLINK("https://klasma.github.io/Logging_0560/klagomålsmail/A 4004-2026 FSC-klagomål mail.docx", "A 4004-2026")</f>
        <v/>
      </c>
      <c r="AA26">
        <f>HYPERLINK("https://klasma.github.io/Logging_0560/tillsyn/A 4004-2026 tillsynsbegäran.docx", "A 4004-2026")</f>
        <v/>
      </c>
      <c r="AB26">
        <f>HYPERLINK("https://klasma.github.io/Logging_0560/tillsynsmail/A 4004-2026 tillsynsbegäran mail.docx", "A 4004-2026")</f>
        <v/>
      </c>
    </row>
    <row r="27" ht="15" customHeight="1">
      <c r="A27" t="inlineStr">
        <is>
          <t>A 14785-2026</t>
        </is>
      </c>
      <c r="B27" t="inlineStr">
        <is>
          <t>avverkningsanmälan</t>
        </is>
      </c>
      <c r="C27" t="inlineStr">
        <is>
          <t>Avverkning för att bevara och utveckla /försöksver</t>
        </is>
      </c>
      <c r="D27" s="1" t="n">
        <v>46101</v>
      </c>
      <c r="E27" s="1" t="n">
        <v>46218</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s="2" t="inlineStr">
        <is>
          <t>Svinrot
Grönvit nattviol</t>
        </is>
      </c>
      <c r="V27">
        <f>HYPERLINK("https://klasma.github.io/Logging_0560/artfynd/A 14785-2026 artfynd.xlsx", "A 14785-2026")</f>
        <v/>
      </c>
      <c r="W27">
        <f>HYPERLINK("https://klasma.github.io/Logging_0560/kartor/A 14785-2026 karta.png", "A 14785-2026")</f>
        <v/>
      </c>
      <c r="Y27">
        <f>HYPERLINK("https://klasma.github.io/Logging_0560/klagomål/A 14785-2026 FSC-klagomål.docx", "A 14785-2026")</f>
        <v/>
      </c>
      <c r="Z27">
        <f>HYPERLINK("https://klasma.github.io/Logging_0560/klagomålsmail/A 14785-2026 FSC-klagomål mail.docx", "A 14785-2026")</f>
        <v/>
      </c>
      <c r="AA27">
        <f>HYPERLINK("https://klasma.github.io/Logging_0560/tillsyn/A 14785-2026 tillsynsbegäran.docx", "A 14785-2026")</f>
        <v/>
      </c>
      <c r="AB27">
        <f>HYPERLINK("https://klasma.github.io/Logging_0560/tillsynsmail/A 14785-2026 tillsynsbegäran mail.docx", "A 14785-2026")</f>
        <v/>
      </c>
    </row>
    <row r="28" ht="15" customHeight="1">
      <c r="A28" t="inlineStr">
        <is>
          <t>A 16755-2022</t>
        </is>
      </c>
      <c r="B28" t="inlineStr">
        <is>
          <t>avverkningsanmälan</t>
        </is>
      </c>
      <c r="C28" t="inlineStr">
        <is>
          <t>Föryngringsavverkning</t>
        </is>
      </c>
      <c r="D28" s="1" t="n">
        <v>44673</v>
      </c>
      <c r="E28" s="1" t="n">
        <v>46218</v>
      </c>
      <c r="F28" t="inlineStr">
        <is>
          <t>ÖSTERGÖTLANDS LÄN</t>
        </is>
      </c>
      <c r="G28" t="inlineStr">
        <is>
          <t>BOXHOLM</t>
        </is>
      </c>
      <c r="I28" t="n">
        <v>0.5</v>
      </c>
      <c r="J28" t="n">
        <v>0</v>
      </c>
      <c r="K28" t="n">
        <v>0</v>
      </c>
      <c r="L28" t="n">
        <v>1</v>
      </c>
      <c r="M28" t="n">
        <v>0</v>
      </c>
      <c r="N28" t="n">
        <v>0</v>
      </c>
      <c r="O28" t="n">
        <v>0</v>
      </c>
      <c r="P28" t="n">
        <v>0</v>
      </c>
      <c r="Q28" t="n">
        <v>1</v>
      </c>
      <c r="R28" t="n">
        <v>0</v>
      </c>
      <c r="S28" t="n">
        <v>1</v>
      </c>
      <c r="T28" t="n">
        <v>1</v>
      </c>
      <c r="U28" s="2" t="inlineStr">
        <is>
          <t>Sommarfibbla</t>
        </is>
      </c>
      <c r="V28">
        <f>HYPERLINK("https://klasma.github.io/Logging_0560/artfynd/A 16755-2022 artfynd.xlsx", "A 16755-2022")</f>
        <v/>
      </c>
      <c r="W28">
        <f>HYPERLINK("https://klasma.github.io/Logging_0560/kartor/A 16755-2022 karta.png", "A 16755-2022")</f>
        <v/>
      </c>
      <c r="Y28">
        <f>HYPERLINK("https://klasma.github.io/Logging_0560/klagomål/A 16755-2022 FSC-klagomål.docx", "A 16755-2022")</f>
        <v/>
      </c>
      <c r="Z28">
        <f>HYPERLINK("https://klasma.github.io/Logging_0560/klagomålsmail/A 16755-2022 FSC-klagomål mail.docx", "A 16755-2022")</f>
        <v/>
      </c>
      <c r="AA28">
        <f>HYPERLINK("https://klasma.github.io/Logging_0560/tillsyn/A 16755-2022 tillsynsbegäran.docx", "A 16755-2022")</f>
        <v/>
      </c>
      <c r="AB28">
        <f>HYPERLINK("https://klasma.github.io/Logging_0560/tillsynsmail/A 16755-2022 tillsynsbegäran mail.docx", "A 16755-2022")</f>
        <v/>
      </c>
    </row>
    <row r="29" ht="15" customHeight="1">
      <c r="A29" t="inlineStr">
        <is>
          <t>A 57570-2023</t>
        </is>
      </c>
      <c r="B29" t="inlineStr">
        <is>
          <t>avverkningsanmälan</t>
        </is>
      </c>
      <c r="C29" t="inlineStr">
        <is>
          <t>Föryngringsavverkning</t>
        </is>
      </c>
      <c r="D29" s="1" t="n">
        <v>45246</v>
      </c>
      <c r="E29" s="1" t="n">
        <v>46218</v>
      </c>
      <c r="F29" t="inlineStr">
        <is>
          <t>ÖSTERGÖTLANDS LÄN</t>
        </is>
      </c>
      <c r="G29" t="inlineStr">
        <is>
          <t>BOXHOLM</t>
        </is>
      </c>
      <c r="H29" t="inlineStr">
        <is>
          <t>Övriga Aktiebolag</t>
        </is>
      </c>
      <c r="I29" t="n">
        <v>1.5</v>
      </c>
      <c r="J29" t="n">
        <v>1</v>
      </c>
      <c r="K29" t="n">
        <v>0</v>
      </c>
      <c r="L29" t="n">
        <v>1</v>
      </c>
      <c r="M29" t="n">
        <v>0</v>
      </c>
      <c r="N29" t="n">
        <v>0</v>
      </c>
      <c r="O29" t="n">
        <v>0</v>
      </c>
      <c r="P29" t="n">
        <v>0</v>
      </c>
      <c r="Q29" t="n">
        <v>1</v>
      </c>
      <c r="R29" t="n">
        <v>0</v>
      </c>
      <c r="S29" t="n">
        <v>1</v>
      </c>
      <c r="T29" t="n">
        <v>1</v>
      </c>
      <c r="U29" s="2" t="inlineStr">
        <is>
          <t>Nötkråka</t>
        </is>
      </c>
      <c r="V29">
        <f>HYPERLINK("https://klasma.github.io/Logging_0560/artfynd/A 57570-2023 artfynd.xlsx", "A 57570-2023")</f>
        <v/>
      </c>
      <c r="W29">
        <f>HYPERLINK("https://klasma.github.io/Logging_0560/kartor/A 57570-2023 karta.png", "A 57570-2023")</f>
        <v/>
      </c>
      <c r="Y29">
        <f>HYPERLINK("https://klasma.github.io/Logging_0560/klagomål/A 57570-2023 FSC-klagomål.docx", "A 57570-2023")</f>
        <v/>
      </c>
      <c r="Z29">
        <f>HYPERLINK("https://klasma.github.io/Logging_0560/klagomålsmail/A 57570-2023 FSC-klagomål mail.docx", "A 57570-2023")</f>
        <v/>
      </c>
      <c r="AA29">
        <f>HYPERLINK("https://klasma.github.io/Logging_0560/tillsyn/A 57570-2023 tillsynsbegäran.docx", "A 57570-2023")</f>
        <v/>
      </c>
      <c r="AB29">
        <f>HYPERLINK("https://klasma.github.io/Logging_0560/tillsynsmail/A 57570-2023 tillsynsbegäran mail.docx", "A 57570-2023")</f>
        <v/>
      </c>
      <c r="AC29">
        <f>HYPERLINK("https://klasma.github.io/Logging_0560/fåglar/A 57570-2023 prioriterade fågelarter.docx", "A 57570-2023")</f>
        <v/>
      </c>
    </row>
    <row r="30" ht="15" customHeight="1">
      <c r="A30" t="inlineStr">
        <is>
          <t>A 43578-2025</t>
        </is>
      </c>
      <c r="B30" t="inlineStr">
        <is>
          <t>avverkningsanmälan</t>
        </is>
      </c>
      <c r="C30" t="inlineStr">
        <is>
          <t>Föryngringsavverkning</t>
        </is>
      </c>
      <c r="D30" s="1" t="n">
        <v>45911</v>
      </c>
      <c r="E30" s="1" t="n">
        <v>46218</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s="2" t="inlineStr">
        <is>
          <t>Grynig filtlav</t>
        </is>
      </c>
      <c r="V30">
        <f>HYPERLINK("https://klasma.github.io/Logging_0560/artfynd/A 43578-2025 artfynd.xlsx", "A 43578-2025")</f>
        <v/>
      </c>
      <c r="W30">
        <f>HYPERLINK("https://klasma.github.io/Logging_0560/kartor/A 43578-2025 karta.png", "A 43578-2025")</f>
        <v/>
      </c>
      <c r="Y30">
        <f>HYPERLINK("https://klasma.github.io/Logging_0560/klagomål/A 43578-2025 FSC-klagomål.docx", "A 43578-2025")</f>
        <v/>
      </c>
      <c r="Z30">
        <f>HYPERLINK("https://klasma.github.io/Logging_0560/klagomålsmail/A 43578-2025 FSC-klagomål mail.docx", "A 43578-2025")</f>
        <v/>
      </c>
      <c r="AA30">
        <f>HYPERLINK("https://klasma.github.io/Logging_0560/tillsyn/A 43578-2025 tillsynsbegäran.docx", "A 43578-2025")</f>
        <v/>
      </c>
      <c r="AB30">
        <f>HYPERLINK("https://klasma.github.io/Logging_0560/tillsynsmail/A 43578-2025 tillsynsbegäran mail.docx", "A 43578-2025")</f>
        <v/>
      </c>
    </row>
    <row r="31" ht="15" customHeight="1">
      <c r="A31" t="inlineStr">
        <is>
          <t>A 19560-2024</t>
        </is>
      </c>
      <c r="B31" t="inlineStr">
        <is>
          <t>avverkningsanmälan</t>
        </is>
      </c>
      <c r="C31" t="inlineStr">
        <is>
          <t>Föryngringsavverkning</t>
        </is>
      </c>
      <c r="D31" s="1" t="n">
        <v>45429</v>
      </c>
      <c r="E31" s="1" t="n">
        <v>46218</v>
      </c>
      <c r="F31" t="inlineStr">
        <is>
          <t>ÖSTERGÖTLANDS LÄN</t>
        </is>
      </c>
      <c r="G31" t="inlineStr">
        <is>
          <t>BOXHOLM</t>
        </is>
      </c>
      <c r="I31" t="n">
        <v>3.8</v>
      </c>
      <c r="J31" t="n">
        <v>0</v>
      </c>
      <c r="K31" t="n">
        <v>0</v>
      </c>
      <c r="L31" t="n">
        <v>1</v>
      </c>
      <c r="M31" t="n">
        <v>0</v>
      </c>
      <c r="N31" t="n">
        <v>0</v>
      </c>
      <c r="O31" t="n">
        <v>0</v>
      </c>
      <c r="P31" t="n">
        <v>0</v>
      </c>
      <c r="Q31" t="n">
        <v>1</v>
      </c>
      <c r="R31" t="n">
        <v>0</v>
      </c>
      <c r="S31" t="n">
        <v>1</v>
      </c>
      <c r="T31" t="n">
        <v>1</v>
      </c>
      <c r="U31" s="2" t="inlineStr">
        <is>
          <t>Gullklöver</t>
        </is>
      </c>
      <c r="V31">
        <f>HYPERLINK("https://klasma.github.io/Logging_0560/artfynd/A 19560-2024 artfynd.xlsx", "A 19560-2024")</f>
        <v/>
      </c>
      <c r="W31">
        <f>HYPERLINK("https://klasma.github.io/Logging_0560/kartor/A 19560-2024 karta.png", "A 19560-2024")</f>
        <v/>
      </c>
      <c r="Y31">
        <f>HYPERLINK("https://klasma.github.io/Logging_0560/klagomål/A 19560-2024 FSC-klagomål.docx", "A 19560-2024")</f>
        <v/>
      </c>
      <c r="Z31">
        <f>HYPERLINK("https://klasma.github.io/Logging_0560/klagomålsmail/A 19560-2024 FSC-klagomål mail.docx", "A 19560-2024")</f>
        <v/>
      </c>
      <c r="AA31">
        <f>HYPERLINK("https://klasma.github.io/Logging_0560/tillsyn/A 19560-2024 tillsynsbegäran.docx", "A 19560-2024")</f>
        <v/>
      </c>
      <c r="AB31">
        <f>HYPERLINK("https://klasma.github.io/Logging_0560/tillsynsmail/A 19560-2024 tillsynsbegäran mail.docx", "A 19560-2024")</f>
        <v/>
      </c>
    </row>
    <row r="32" ht="15" customHeight="1">
      <c r="A32" t="inlineStr">
        <is>
          <t>A 52847-2024</t>
        </is>
      </c>
      <c r="B32" t="inlineStr">
        <is>
          <t>avverkningsanmälan</t>
        </is>
      </c>
      <c r="C32" t="inlineStr">
        <is>
          <t>Föryngringsavverkning</t>
        </is>
      </c>
      <c r="D32" s="1" t="n">
        <v>45610</v>
      </c>
      <c r="E32" s="1" t="n">
        <v>46218</v>
      </c>
      <c r="F32" t="inlineStr">
        <is>
          <t>ÖSTERGÖTLANDS LÄN</t>
        </is>
      </c>
      <c r="G32" t="inlineStr">
        <is>
          <t>BOXHOLM</t>
        </is>
      </c>
      <c r="I32" t="n">
        <v>1.2</v>
      </c>
      <c r="J32" t="n">
        <v>0</v>
      </c>
      <c r="K32" t="n">
        <v>0</v>
      </c>
      <c r="L32" t="n">
        <v>1</v>
      </c>
      <c r="M32" t="n">
        <v>0</v>
      </c>
      <c r="N32" t="n">
        <v>0</v>
      </c>
      <c r="O32" t="n">
        <v>0</v>
      </c>
      <c r="P32" t="n">
        <v>0</v>
      </c>
      <c r="Q32" t="n">
        <v>1</v>
      </c>
      <c r="R32" t="n">
        <v>0</v>
      </c>
      <c r="S32" t="n">
        <v>1</v>
      </c>
      <c r="T32" t="n">
        <v>1</v>
      </c>
      <c r="U32" s="2" t="inlineStr">
        <is>
          <t>Vårstarr</t>
        </is>
      </c>
      <c r="V32">
        <f>HYPERLINK("https://klasma.github.io/Logging_0560/artfynd/A 52847-2024 artfynd.xlsx", "A 52847-2024")</f>
        <v/>
      </c>
      <c r="W32">
        <f>HYPERLINK("https://klasma.github.io/Logging_0560/kartor/A 52847-2024 karta.png", "A 52847-2024")</f>
        <v/>
      </c>
      <c r="Y32">
        <f>HYPERLINK("https://klasma.github.io/Logging_0560/klagomål/A 52847-2024 FSC-klagomål.docx", "A 52847-2024")</f>
        <v/>
      </c>
      <c r="Z32">
        <f>HYPERLINK("https://klasma.github.io/Logging_0560/klagomålsmail/A 52847-2024 FSC-klagomål mail.docx", "A 52847-2024")</f>
        <v/>
      </c>
      <c r="AA32">
        <f>HYPERLINK("https://klasma.github.io/Logging_0560/tillsyn/A 52847-2024 tillsynsbegäran.docx", "A 52847-2024")</f>
        <v/>
      </c>
      <c r="AB32">
        <f>HYPERLINK("https://klasma.github.io/Logging_0560/tillsynsmail/A 52847-2024 tillsynsbegäran mail.docx", "A 52847-2024")</f>
        <v/>
      </c>
    </row>
    <row r="33" ht="15" customHeight="1">
      <c r="A33" t="inlineStr">
        <is>
          <t>A 29396-2023</t>
        </is>
      </c>
      <c r="B33" t="inlineStr">
        <is>
          <t>avverkningsanmälan</t>
        </is>
      </c>
      <c r="C33" t="inlineStr">
        <is>
          <t>Föryngringsavverkning</t>
        </is>
      </c>
      <c r="D33" s="1" t="n">
        <v>45106</v>
      </c>
      <c r="E33" s="1" t="n">
        <v>46218</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s="2" t="inlineStr">
        <is>
          <t>Gul dropplav</t>
        </is>
      </c>
      <c r="V33">
        <f>HYPERLINK("https://klasma.github.io/Logging_0560/artfynd/A 29396-2023 artfynd.xlsx", "A 29396-2023")</f>
        <v/>
      </c>
      <c r="W33">
        <f>HYPERLINK("https://klasma.github.io/Logging_0560/kartor/A 29396-2023 karta.png", "A 29396-2023")</f>
        <v/>
      </c>
      <c r="Y33">
        <f>HYPERLINK("https://klasma.github.io/Logging_0560/klagomål/A 29396-2023 FSC-klagomål.docx", "A 29396-2023")</f>
        <v/>
      </c>
      <c r="Z33">
        <f>HYPERLINK("https://klasma.github.io/Logging_0560/klagomålsmail/A 29396-2023 FSC-klagomål mail.docx", "A 29396-2023")</f>
        <v/>
      </c>
      <c r="AA33">
        <f>HYPERLINK("https://klasma.github.io/Logging_0560/tillsyn/A 29396-2023 tillsynsbegäran.docx", "A 29396-2023")</f>
        <v/>
      </c>
      <c r="AB33">
        <f>HYPERLINK("https://klasma.github.io/Logging_0560/tillsynsmail/A 29396-2023 tillsynsbegäran mail.docx", "A 29396-2023")</f>
        <v/>
      </c>
    </row>
    <row r="34" ht="15" customHeight="1">
      <c r="A34" t="inlineStr">
        <is>
          <t>A 5001-2022</t>
        </is>
      </c>
      <c r="B34" t="inlineStr">
        <is>
          <t>avverkningsanmälan</t>
        </is>
      </c>
      <c r="C34" t="inlineStr">
        <is>
          <t>Föryngringsavverkning</t>
        </is>
      </c>
      <c r="D34" s="1" t="n">
        <v>44593</v>
      </c>
      <c r="E34" s="1" t="n">
        <v>46218</v>
      </c>
      <c r="F34" t="inlineStr">
        <is>
          <t>ÖSTERGÖTLANDS LÄN</t>
        </is>
      </c>
      <c r="G34" t="inlineStr">
        <is>
          <t>BOXHOLM</t>
        </is>
      </c>
      <c r="H34" t="inlineStr">
        <is>
          <t>Övriga Aktiebolag</t>
        </is>
      </c>
      <c r="I34" t="n">
        <v>7.9</v>
      </c>
      <c r="J34" t="n">
        <v>0</v>
      </c>
      <c r="K34" t="n">
        <v>0</v>
      </c>
      <c r="L34" t="n">
        <v>1</v>
      </c>
      <c r="M34" t="n">
        <v>0</v>
      </c>
      <c r="N34" t="n">
        <v>0</v>
      </c>
      <c r="O34" t="n">
        <v>0</v>
      </c>
      <c r="P34" t="n">
        <v>0</v>
      </c>
      <c r="Q34" t="n">
        <v>1</v>
      </c>
      <c r="R34" t="n">
        <v>0</v>
      </c>
      <c r="S34" t="n">
        <v>1</v>
      </c>
      <c r="T34" t="n">
        <v>1</v>
      </c>
      <c r="U34" s="2" t="inlineStr">
        <is>
          <t>Carphacis striatus</t>
        </is>
      </c>
      <c r="V34">
        <f>HYPERLINK("https://klasma.github.io/Logging_0560/artfynd/A 5001-2022 artfynd.xlsx", "A 5001-2022")</f>
        <v/>
      </c>
      <c r="W34">
        <f>HYPERLINK("https://klasma.github.io/Logging_0560/kartor/A 5001-2022 karta.png", "A 5001-2022")</f>
        <v/>
      </c>
      <c r="Y34">
        <f>HYPERLINK("https://klasma.github.io/Logging_0560/klagomål/A 5001-2022 FSC-klagomål.docx", "A 5001-2022")</f>
        <v/>
      </c>
      <c r="Z34">
        <f>HYPERLINK("https://klasma.github.io/Logging_0560/klagomålsmail/A 5001-2022 FSC-klagomål mail.docx", "A 5001-2022")</f>
        <v/>
      </c>
      <c r="AA34">
        <f>HYPERLINK("https://klasma.github.io/Logging_0560/tillsyn/A 5001-2022 tillsynsbegäran.docx", "A 5001-2022")</f>
        <v/>
      </c>
      <c r="AB34">
        <f>HYPERLINK("https://klasma.github.io/Logging_0560/tillsynsmail/A 5001-2022 tillsynsbegäran mail.docx", "A 5001-2022")</f>
        <v/>
      </c>
    </row>
    <row r="35" ht="15" customHeight="1">
      <c r="A35" t="inlineStr">
        <is>
          <t>A 31675-2023</t>
        </is>
      </c>
      <c r="B35" t="inlineStr">
        <is>
          <t>avverkningsanmälan</t>
        </is>
      </c>
      <c r="C35" t="inlineStr">
        <is>
          <t>Avverkning för annat ändamål</t>
        </is>
      </c>
      <c r="D35" s="1" t="n">
        <v>45117</v>
      </c>
      <c r="E35" s="1" t="n">
        <v>46218</v>
      </c>
      <c r="F35" t="inlineStr">
        <is>
          <t>ÖSTERGÖTLANDS LÄN</t>
        </is>
      </c>
      <c r="G35" t="inlineStr">
        <is>
          <t>BOXHOLM</t>
        </is>
      </c>
      <c r="H35" t="inlineStr">
        <is>
          <t>Övriga Aktiebolag</t>
        </is>
      </c>
      <c r="I35" t="n">
        <v>2</v>
      </c>
      <c r="J35" t="n">
        <v>0</v>
      </c>
      <c r="K35" t="n">
        <v>0</v>
      </c>
      <c r="L35" t="n">
        <v>1</v>
      </c>
      <c r="M35" t="n">
        <v>0</v>
      </c>
      <c r="N35" t="n">
        <v>0</v>
      </c>
      <c r="O35" t="n">
        <v>0</v>
      </c>
      <c r="P35" t="n">
        <v>0</v>
      </c>
      <c r="Q35" t="n">
        <v>1</v>
      </c>
      <c r="R35" t="n">
        <v>0</v>
      </c>
      <c r="S35" t="n">
        <v>1</v>
      </c>
      <c r="T35" t="n">
        <v>1</v>
      </c>
      <c r="U35" s="2" t="inlineStr">
        <is>
          <t>Backklöver</t>
        </is>
      </c>
      <c r="V35">
        <f>HYPERLINK("https://klasma.github.io/Logging_0560/artfynd/A 31675-2023 artfynd.xlsx", "A 31675-2023")</f>
        <v/>
      </c>
      <c r="W35">
        <f>HYPERLINK("https://klasma.github.io/Logging_0560/kartor/A 31675-2023 karta.png", "A 31675-2023")</f>
        <v/>
      </c>
      <c r="Y35">
        <f>HYPERLINK("https://klasma.github.io/Logging_0560/klagomål/A 31675-2023 FSC-klagomål.docx", "A 31675-2023")</f>
        <v/>
      </c>
      <c r="Z35">
        <f>HYPERLINK("https://klasma.github.io/Logging_0560/klagomålsmail/A 31675-2023 FSC-klagomål mail.docx", "A 31675-2023")</f>
        <v/>
      </c>
      <c r="AA35">
        <f>HYPERLINK("https://klasma.github.io/Logging_0560/tillsyn/A 31675-2023 tillsynsbegäran.docx", "A 31675-2023")</f>
        <v/>
      </c>
      <c r="AB35">
        <f>HYPERLINK("https://klasma.github.io/Logging_0560/tillsynsmail/A 31675-2023 tillsynsbegäran mail.docx", "A 31675-2023")</f>
        <v/>
      </c>
    </row>
    <row r="36" ht="15" customHeight="1">
      <c r="A36" t="inlineStr">
        <is>
          <t>A 10733-2024</t>
        </is>
      </c>
      <c r="B36" t="inlineStr">
        <is>
          <t>avverkningsanmälan</t>
        </is>
      </c>
      <c r="C36" t="inlineStr">
        <is>
          <t>Föryngringsavverkning</t>
        </is>
      </c>
      <c r="D36" s="1" t="n">
        <v>45369</v>
      </c>
      <c r="E36" s="1" t="n">
        <v>46218</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s="2" t="inlineStr">
        <is>
          <t>Knärot</t>
        </is>
      </c>
      <c r="V36">
        <f>HYPERLINK("https://klasma.github.io/Logging_0560/artfynd/A 10733-2024 artfynd.xlsx", "A 10733-2024")</f>
        <v/>
      </c>
      <c r="W36">
        <f>HYPERLINK("https://klasma.github.io/Logging_0560/kartor/A 10733-2024 karta.png", "A 10733-2024")</f>
        <v/>
      </c>
      <c r="X36">
        <f>HYPERLINK("https://klasma.github.io/Logging_0560/knärot/A 10733-2024 karta knärot.png", "A 10733-2024")</f>
        <v/>
      </c>
      <c r="Y36">
        <f>HYPERLINK("https://klasma.github.io/Logging_0560/klagomål/A 10733-2024 FSC-klagomål.docx", "A 10733-2024")</f>
        <v/>
      </c>
      <c r="Z36">
        <f>HYPERLINK("https://klasma.github.io/Logging_0560/klagomålsmail/A 10733-2024 FSC-klagomål mail.docx", "A 10733-2024")</f>
        <v/>
      </c>
      <c r="AA36">
        <f>HYPERLINK("https://klasma.github.io/Logging_0560/tillsyn/A 10733-2024 tillsynsbegäran.docx", "A 10733-2024")</f>
        <v/>
      </c>
      <c r="AB36">
        <f>HYPERLINK("https://klasma.github.io/Logging_0560/tillsynsmail/A 10733-2024 tillsynsbegäran mail.docx", "A 10733-2024")</f>
        <v/>
      </c>
    </row>
    <row r="37" ht="15" customHeight="1">
      <c r="A37" t="inlineStr">
        <is>
          <t>A 44823-2023</t>
        </is>
      </c>
      <c r="B37" t="inlineStr">
        <is>
          <t>avverkningsanmälan</t>
        </is>
      </c>
      <c r="C37" t="inlineStr">
        <is>
          <t>Föryngringsavverkning</t>
        </is>
      </c>
      <c r="D37" s="1" t="n">
        <v>45190</v>
      </c>
      <c r="E37" s="1" t="n">
        <v>46218</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s="2" t="inlineStr">
        <is>
          <t>Kalkkärrsgrynsnäcka</t>
        </is>
      </c>
      <c r="V37">
        <f>HYPERLINK("https://klasma.github.io/Logging_0560/artfynd/A 44823-2023 artfynd.xlsx", "A 44823-2023")</f>
        <v/>
      </c>
      <c r="W37">
        <f>HYPERLINK("https://klasma.github.io/Logging_0560/kartor/A 44823-2023 karta.png", "A 44823-2023")</f>
        <v/>
      </c>
      <c r="Y37">
        <f>HYPERLINK("https://klasma.github.io/Logging_0560/klagomål/A 44823-2023 FSC-klagomål.docx", "A 44823-2023")</f>
        <v/>
      </c>
      <c r="Z37">
        <f>HYPERLINK("https://klasma.github.io/Logging_0560/klagomålsmail/A 44823-2023 FSC-klagomål mail.docx", "A 44823-2023")</f>
        <v/>
      </c>
      <c r="AA37">
        <f>HYPERLINK("https://klasma.github.io/Logging_0560/tillsyn/A 44823-2023 tillsynsbegäran.docx", "A 44823-2023")</f>
        <v/>
      </c>
      <c r="AB37">
        <f>HYPERLINK("https://klasma.github.io/Logging_0560/tillsynsmail/A 44823-2023 tillsynsbegäran mail.docx", "A 44823-2023")</f>
        <v/>
      </c>
    </row>
    <row r="38" ht="15" customHeight="1">
      <c r="A38" t="inlineStr">
        <is>
          <t>A 2669-2022</t>
        </is>
      </c>
      <c r="B38" t="inlineStr">
        <is>
          <t>avverkningsanmälan</t>
        </is>
      </c>
      <c r="C38" t="inlineStr">
        <is>
          <t>Föryngringsavverkning</t>
        </is>
      </c>
      <c r="D38" s="1" t="n">
        <v>44580</v>
      </c>
      <c r="E38" s="1" t="n">
        <v>46218</v>
      </c>
      <c r="F38" t="inlineStr">
        <is>
          <t>ÖSTERGÖTLANDS LÄN</t>
        </is>
      </c>
      <c r="G38" t="inlineStr">
        <is>
          <t>BOXHOLM</t>
        </is>
      </c>
      <c r="I38" t="n">
        <v>2.3</v>
      </c>
      <c r="J38" t="n">
        <v>0</v>
      </c>
      <c r="K38" t="n">
        <v>0</v>
      </c>
      <c r="L38" t="n">
        <v>1</v>
      </c>
      <c r="M38" t="n">
        <v>0</v>
      </c>
      <c r="N38" t="n">
        <v>0</v>
      </c>
      <c r="O38" t="n">
        <v>0</v>
      </c>
      <c r="P38" t="n">
        <v>0</v>
      </c>
      <c r="Q38" t="n">
        <v>1</v>
      </c>
      <c r="R38" t="n">
        <v>0</v>
      </c>
      <c r="S38" t="n">
        <v>1</v>
      </c>
      <c r="T38" t="n">
        <v>2</v>
      </c>
      <c r="U38" s="2" t="inlineStr">
        <is>
          <t>Sommarfibbla</t>
        </is>
      </c>
      <c r="V38">
        <f>HYPERLINK("https://klasma.github.io/Logging_0560/artfynd/A 2669-2022 artfynd.xlsx", "A 2669-2022")</f>
        <v/>
      </c>
      <c r="W38">
        <f>HYPERLINK("https://klasma.github.io/Logging_0560/kartor/A 2669-2022 karta.png", "A 2669-2022")</f>
        <v/>
      </c>
      <c r="Y38">
        <f>HYPERLINK("https://klasma.github.io/Logging_0560/klagomål/A 2669-2022 FSC-klagomål.docx", "A 2669-2022")</f>
        <v/>
      </c>
      <c r="Z38">
        <f>HYPERLINK("https://klasma.github.io/Logging_0560/klagomålsmail/A 2669-2022 FSC-klagomål mail.docx", "A 2669-2022")</f>
        <v/>
      </c>
      <c r="AA38">
        <f>HYPERLINK("https://klasma.github.io/Logging_0560/tillsyn/A 2669-2022 tillsynsbegäran.docx", "A 2669-2022")</f>
        <v/>
      </c>
      <c r="AB38">
        <f>HYPERLINK("https://klasma.github.io/Logging_0560/tillsynsmail/A 2669-2022 tillsynsbegäran mail.docx", "A 2669-2022")</f>
        <v/>
      </c>
    </row>
    <row r="39" ht="15" customHeight="1">
      <c r="A39" t="inlineStr">
        <is>
          <t>A 36475-2025</t>
        </is>
      </c>
      <c r="B39" t="inlineStr">
        <is>
          <t>avverkningsanmälan</t>
        </is>
      </c>
      <c r="C39" t="inlineStr">
        <is>
          <t>Föryngringsavverkning</t>
        </is>
      </c>
      <c r="D39" s="1" t="n">
        <v>45869</v>
      </c>
      <c r="E39" s="1" t="n">
        <v>46218</v>
      </c>
      <c r="F39" t="inlineStr">
        <is>
          <t>ÖSTERGÖTLANDS LÄN</t>
        </is>
      </c>
      <c r="G39" t="inlineStr">
        <is>
          <t>BOXHOLM</t>
        </is>
      </c>
      <c r="H39" t="inlineStr">
        <is>
          <t>Övriga Aktiebolag</t>
        </is>
      </c>
      <c r="I39" t="n">
        <v>2.1</v>
      </c>
      <c r="J39" t="n">
        <v>0</v>
      </c>
      <c r="K39" t="n">
        <v>1</v>
      </c>
      <c r="L39" t="n">
        <v>0</v>
      </c>
      <c r="M39" t="n">
        <v>0</v>
      </c>
      <c r="N39" t="n">
        <v>0</v>
      </c>
      <c r="O39" t="n">
        <v>0</v>
      </c>
      <c r="P39" t="n">
        <v>0</v>
      </c>
      <c r="Q39" t="n">
        <v>0</v>
      </c>
      <c r="R39" t="n">
        <v>0</v>
      </c>
      <c r="S39" t="n">
        <v>1</v>
      </c>
      <c r="T39" t="n">
        <v>2</v>
      </c>
      <c r="U39" s="2" t="inlineStr">
        <is>
          <t>Tibast</t>
        </is>
      </c>
      <c r="V39">
        <f>HYPERLINK("https://klasma.github.io/Logging_0560/artfynd/A 36475-2025 artfynd.xlsx", "A 36475-2025")</f>
        <v/>
      </c>
      <c r="W39">
        <f>HYPERLINK("https://klasma.github.io/Logging_0560/kartor/A 36475-2025 karta.png", "A 36475-2025")</f>
        <v/>
      </c>
      <c r="Y39">
        <f>HYPERLINK("https://klasma.github.io/Logging_0560/klagomål/A 36475-2025 FSC-klagomål.docx", "A 36475-2025")</f>
        <v/>
      </c>
      <c r="Z39">
        <f>HYPERLINK("https://klasma.github.io/Logging_0560/klagomålsmail/A 36475-2025 FSC-klagomål mail.docx", "A 36475-2025")</f>
        <v/>
      </c>
      <c r="AA39">
        <f>HYPERLINK("https://klasma.github.io/Logging_0560/tillsyn/A 36475-2025 tillsynsbegäran.docx", "A 36475-2025")</f>
        <v/>
      </c>
      <c r="AB39">
        <f>HYPERLINK("https://klasma.github.io/Logging_0560/tillsynsmail/A 36475-2025 tillsynsbegäran mail.docx", "A 36475-2025")</f>
        <v/>
      </c>
    </row>
    <row r="40" ht="15" customHeight="1">
      <c r="A40" t="inlineStr">
        <is>
          <t>A 64028-2025</t>
        </is>
      </c>
      <c r="B40" t="inlineStr">
        <is>
          <t>avverkningsanmälan</t>
        </is>
      </c>
      <c r="C40" t="inlineStr">
        <is>
          <t>Föryngringsavverkning</t>
        </is>
      </c>
      <c r="D40" s="1" t="n">
        <v>46021</v>
      </c>
      <c r="E40" s="1" t="n">
        <v>46218</v>
      </c>
      <c r="F40" t="inlineStr">
        <is>
          <t>ÖSTERGÖTLANDS LÄN</t>
        </is>
      </c>
      <c r="G40" t="inlineStr">
        <is>
          <t>BOXHOLM</t>
        </is>
      </c>
      <c r="H40" t="inlineStr">
        <is>
          <t>Allmännings- och besparingsskogar</t>
        </is>
      </c>
      <c r="I40" t="n">
        <v>2.6</v>
      </c>
      <c r="J40" t="n">
        <v>1</v>
      </c>
      <c r="K40" t="n">
        <v>0</v>
      </c>
      <c r="L40" t="n">
        <v>0</v>
      </c>
      <c r="M40" t="n">
        <v>0</v>
      </c>
      <c r="N40" t="n">
        <v>0</v>
      </c>
      <c r="O40" t="n">
        <v>0</v>
      </c>
      <c r="P40" t="n">
        <v>0</v>
      </c>
      <c r="Q40" t="n">
        <v>0</v>
      </c>
      <c r="R40" t="n">
        <v>0</v>
      </c>
      <c r="S40" t="n">
        <v>1</v>
      </c>
      <c r="T40" t="n">
        <v>1</v>
      </c>
      <c r="U40" s="2" t="inlineStr">
        <is>
          <t>Blåsippa</t>
        </is>
      </c>
      <c r="V40">
        <f>HYPERLINK("https://klasma.github.io/Logging_0560/artfynd/A 64028-2025 artfynd.xlsx", "A 64028-2025")</f>
        <v/>
      </c>
      <c r="W40">
        <f>HYPERLINK("https://klasma.github.io/Logging_0560/kartor/A 64028-2025 karta.png", "A 64028-2025")</f>
        <v/>
      </c>
      <c r="Y40">
        <f>HYPERLINK("https://klasma.github.io/Logging_0560/klagomål/A 64028-2025 FSC-klagomål.docx", "A 64028-2025")</f>
        <v/>
      </c>
      <c r="Z40">
        <f>HYPERLINK("https://klasma.github.io/Logging_0560/klagomålsmail/A 64028-2025 FSC-klagomål mail.docx", "A 64028-2025")</f>
        <v/>
      </c>
      <c r="AA40">
        <f>HYPERLINK("https://klasma.github.io/Logging_0560/tillsyn/A 64028-2025 tillsynsbegäran.docx", "A 64028-2025")</f>
        <v/>
      </c>
      <c r="AB40">
        <f>HYPERLINK("https://klasma.github.io/Logging_0560/tillsynsmail/A 64028-2025 tillsynsbegäran mail.docx", "A 64028-2025")</f>
        <v/>
      </c>
    </row>
    <row r="41" ht="15" customHeight="1">
      <c r="A41" t="inlineStr">
        <is>
          <t>A 28407-2026</t>
        </is>
      </c>
      <c r="B41" t="inlineStr">
        <is>
          <t>avverkningsanmälan</t>
        </is>
      </c>
      <c r="C41" t="inlineStr">
        <is>
          <t>Föryngringsavverkning</t>
        </is>
      </c>
      <c r="D41" s="1" t="n">
        <v>46197</v>
      </c>
      <c r="E41" s="1" t="n">
        <v>46218</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s="2" t="inlineStr">
        <is>
          <t>Gullklöver</t>
        </is>
      </c>
      <c r="V41">
        <f>HYPERLINK("https://klasma.github.io/Logging_0560/artfynd/A 28407-2026 artfynd.xlsx", "A 28407-2026")</f>
        <v/>
      </c>
      <c r="W41">
        <f>HYPERLINK("https://klasma.github.io/Logging_0560/kartor/A 28407-2026 karta.png", "A 28407-2026")</f>
        <v/>
      </c>
      <c r="Y41">
        <f>HYPERLINK("https://klasma.github.io/Logging_0560/klagomål/A 28407-2026 FSC-klagomål.docx", "A 28407-2026")</f>
        <v/>
      </c>
      <c r="Z41">
        <f>HYPERLINK("https://klasma.github.io/Logging_0560/klagomålsmail/A 28407-2026 FSC-klagomål mail.docx", "A 28407-2026")</f>
        <v/>
      </c>
      <c r="AA41">
        <f>HYPERLINK("https://klasma.github.io/Logging_0560/tillsyn/A 28407-2026 tillsynsbegäran.docx", "A 28407-2026")</f>
        <v/>
      </c>
      <c r="AB41">
        <f>HYPERLINK("https://klasma.github.io/Logging_0560/tillsynsmail/A 28407-2026 tillsynsbegäran mail.docx", "A 28407-2026")</f>
        <v/>
      </c>
    </row>
    <row r="42" ht="15" customHeight="1">
      <c r="A42" t="inlineStr">
        <is>
          <t>A 53616-2024</t>
        </is>
      </c>
      <c r="B42" t="inlineStr">
        <is>
          <t>avverkningsanmälan</t>
        </is>
      </c>
      <c r="C42" t="inlineStr">
        <is>
          <t>Föryngringsavverkning</t>
        </is>
      </c>
      <c r="D42" s="1" t="n">
        <v>45614</v>
      </c>
      <c r="E42" s="1" t="n">
        <v>46218</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s="2" t="inlineStr">
        <is>
          <t>Sommarfibbla</t>
        </is>
      </c>
      <c r="V42">
        <f>HYPERLINK("https://klasma.github.io/Logging_0560/artfynd/A 53616-2024 artfynd.xlsx", "A 53616-2024")</f>
        <v/>
      </c>
      <c r="W42">
        <f>HYPERLINK("https://klasma.github.io/Logging_0560/kartor/A 53616-2024 karta.png", "A 53616-2024")</f>
        <v/>
      </c>
      <c r="Y42">
        <f>HYPERLINK("https://klasma.github.io/Logging_0560/klagomål/A 53616-2024 FSC-klagomål.docx", "A 53616-2024")</f>
        <v/>
      </c>
      <c r="Z42">
        <f>HYPERLINK("https://klasma.github.io/Logging_0560/klagomålsmail/A 53616-2024 FSC-klagomål mail.docx", "A 53616-2024")</f>
        <v/>
      </c>
      <c r="AA42">
        <f>HYPERLINK("https://klasma.github.io/Logging_0560/tillsyn/A 53616-2024 tillsynsbegäran.docx", "A 53616-2024")</f>
        <v/>
      </c>
      <c r="AB42">
        <f>HYPERLINK("https://klasma.github.io/Logging_0560/tillsynsmail/A 53616-2024 tillsynsbegäran mail.docx", "A 53616-2024")</f>
        <v/>
      </c>
    </row>
    <row r="43" ht="15" customHeight="1">
      <c r="A43" t="inlineStr">
        <is>
          <t>S 486-2025</t>
        </is>
      </c>
      <c r="B43" t="inlineStr">
        <is>
          <t>samrådsanmälan</t>
        </is>
      </c>
      <c r="C43" t="inlineStr">
        <is>
          <t>Askåterföring</t>
        </is>
      </c>
      <c r="D43" s="1" t="n">
        <v>45705</v>
      </c>
      <c r="E43" s="1" t="n">
        <v>46218</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s="2" t="inlineStr">
        <is>
          <t>Etternässla</t>
        </is>
      </c>
      <c r="V43">
        <f>HYPERLINK("https://klasma.github.io/Logging_0560/artfynd/S 486-2025 artfynd.xlsx", "S 486-2025")</f>
        <v/>
      </c>
      <c r="W43">
        <f>HYPERLINK("https://klasma.github.io/Logging_0560/kartor/S 486-2025 karta.png", "S 486-2025")</f>
        <v/>
      </c>
      <c r="Y43">
        <f>HYPERLINK("https://klasma.github.io/Logging_0560/klagomål/S 486-2025 FSC-klagomål.docx", "S 486-2025")</f>
        <v/>
      </c>
      <c r="Z43">
        <f>HYPERLINK("https://klasma.github.io/Logging_0560/klagomålsmail/S 486-2025 FSC-klagomål mail.docx", "S 486-2025")</f>
        <v/>
      </c>
      <c r="AA43">
        <f>HYPERLINK("https://klasma.github.io/Logging_0560/tillsyn/S 486-2025 tillsynsbegäran.docx", "S 486-2025")</f>
        <v/>
      </c>
      <c r="AB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46218</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s="2" t="inlineStr"/>
    </row>
    <row r="45" ht="15" customHeight="1">
      <c r="A45" t="inlineStr">
        <is>
          <t>A 63202-2021</t>
        </is>
      </c>
      <c r="B45" t="inlineStr">
        <is>
          <t>avverkningsanmälan</t>
        </is>
      </c>
      <c r="C45" t="inlineStr">
        <is>
          <t>Föryngringsavverkning</t>
        </is>
      </c>
      <c r="D45" s="1" t="n">
        <v>44507</v>
      </c>
      <c r="E45" s="1" t="n">
        <v>46218</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s="2" t="inlineStr"/>
    </row>
    <row r="46" ht="15" customHeight="1">
      <c r="A46" t="inlineStr">
        <is>
          <t>A 55182-2022</t>
        </is>
      </c>
      <c r="B46" t="inlineStr">
        <is>
          <t>avverkningsanmälan</t>
        </is>
      </c>
      <c r="C46" t="inlineStr">
        <is>
          <t>Föryngringsavverkning</t>
        </is>
      </c>
      <c r="D46" s="1" t="n">
        <v>44886</v>
      </c>
      <c r="E46" s="1" t="n">
        <v>46218</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s="2" t="inlineStr"/>
    </row>
    <row r="47" ht="15" customHeight="1">
      <c r="A47" t="inlineStr">
        <is>
          <t>A 44898-2022</t>
        </is>
      </c>
      <c r="B47" t="inlineStr">
        <is>
          <t>avverkningsanmälan</t>
        </is>
      </c>
      <c r="C47" t="inlineStr">
        <is>
          <t>Föryngringsavverkning</t>
        </is>
      </c>
      <c r="D47" s="1" t="n">
        <v>44841</v>
      </c>
      <c r="E47" s="1" t="n">
        <v>46218</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s="2" t="inlineStr"/>
    </row>
    <row r="48" ht="15" customHeight="1">
      <c r="A48" t="inlineStr">
        <is>
          <t>A 16753-2022</t>
        </is>
      </c>
      <c r="B48" t="inlineStr">
        <is>
          <t>avverkningsanmälan</t>
        </is>
      </c>
      <c r="C48" t="inlineStr">
        <is>
          <t>Föryngringsavverkning</t>
        </is>
      </c>
      <c r="D48" s="1" t="n">
        <v>44673</v>
      </c>
      <c r="E48" s="1" t="n">
        <v>46218</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s="2" t="inlineStr"/>
    </row>
    <row r="49" ht="15" customHeight="1">
      <c r="A49" t="inlineStr">
        <is>
          <t>A 22043-2022</t>
        </is>
      </c>
      <c r="B49" t="inlineStr">
        <is>
          <t>avverkningsanmälan</t>
        </is>
      </c>
      <c r="C49" t="inlineStr">
        <is>
          <t>Föryngringsavverkning</t>
        </is>
      </c>
      <c r="D49" s="1" t="n">
        <v>44711</v>
      </c>
      <c r="E49" s="1" t="n">
        <v>46218</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s="2" t="inlineStr"/>
    </row>
    <row r="50" ht="15" customHeight="1">
      <c r="A50" t="inlineStr">
        <is>
          <t>A 54708-2021</t>
        </is>
      </c>
      <c r="B50" t="inlineStr">
        <is>
          <t>avverkningsanmälan</t>
        </is>
      </c>
      <c r="C50" t="inlineStr">
        <is>
          <t>Föryngringsavverkning</t>
        </is>
      </c>
      <c r="D50" s="1" t="n">
        <v>44473</v>
      </c>
      <c r="E50" s="1" t="n">
        <v>46218</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s="2" t="inlineStr"/>
    </row>
    <row r="51" ht="15" customHeight="1">
      <c r="A51" t="inlineStr">
        <is>
          <t>A 56800-2021</t>
        </is>
      </c>
      <c r="B51" t="inlineStr">
        <is>
          <t>avverkningsanmälan</t>
        </is>
      </c>
      <c r="C51" t="inlineStr">
        <is>
          <t>Föryngringsavverkning</t>
        </is>
      </c>
      <c r="D51" s="1" t="n">
        <v>44481</v>
      </c>
      <c r="E51" s="1" t="n">
        <v>46218</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s="2" t="inlineStr"/>
    </row>
    <row r="52" ht="15" customHeight="1">
      <c r="A52" t="inlineStr">
        <is>
          <t>A 67372-2021</t>
        </is>
      </c>
      <c r="B52" t="inlineStr">
        <is>
          <t>avverkningsanmälan</t>
        </is>
      </c>
      <c r="C52" t="inlineStr">
        <is>
          <t>Föryngringsavverkning</t>
        </is>
      </c>
      <c r="D52" s="1" t="n">
        <v>44523</v>
      </c>
      <c r="E52" s="1" t="n">
        <v>46218</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s="2" t="inlineStr"/>
    </row>
    <row r="53" ht="15" customHeight="1">
      <c r="A53" t="inlineStr">
        <is>
          <t>A 50455-2022</t>
        </is>
      </c>
      <c r="B53" t="inlineStr">
        <is>
          <t>avverkningsanmälan</t>
        </is>
      </c>
      <c r="C53" t="inlineStr">
        <is>
          <t>Föryngringsavverkning</t>
        </is>
      </c>
      <c r="D53" s="1" t="n">
        <v>44866</v>
      </c>
      <c r="E53" s="1" t="n">
        <v>46218</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s="2" t="inlineStr"/>
    </row>
    <row r="54" ht="15" customHeight="1">
      <c r="A54" t="inlineStr">
        <is>
          <t>A 43219-2022</t>
        </is>
      </c>
      <c r="B54" t="inlineStr">
        <is>
          <t>avverkningsanmälan</t>
        </is>
      </c>
      <c r="C54" t="inlineStr">
        <is>
          <t>Föryngringsavverkning</t>
        </is>
      </c>
      <c r="D54" s="1" t="n">
        <v>44834</v>
      </c>
      <c r="E54" s="1" t="n">
        <v>46218</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s="2" t="inlineStr"/>
    </row>
    <row r="55" ht="15" customHeight="1">
      <c r="A55" t="inlineStr">
        <is>
          <t>A 16107-2022</t>
        </is>
      </c>
      <c r="B55" t="inlineStr">
        <is>
          <t>avverkningsanmälan</t>
        </is>
      </c>
      <c r="C55" t="inlineStr">
        <is>
          <t>Föryngringsavverkning</t>
        </is>
      </c>
      <c r="D55" s="1" t="n">
        <v>44665</v>
      </c>
      <c r="E55" s="1" t="n">
        <v>46218</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s="2" t="inlineStr"/>
    </row>
    <row r="56" ht="15" customHeight="1">
      <c r="A56" t="inlineStr">
        <is>
          <t>A 42698-2022</t>
        </is>
      </c>
      <c r="B56" t="inlineStr">
        <is>
          <t>avverkningsanmälan</t>
        </is>
      </c>
      <c r="C56" t="inlineStr">
        <is>
          <t>Föryngringsavverkning</t>
        </is>
      </c>
      <c r="D56" s="1" t="n">
        <v>44832</v>
      </c>
      <c r="E56" s="1" t="n">
        <v>46218</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s="2" t="inlineStr"/>
    </row>
    <row r="57" ht="15" customHeight="1">
      <c r="A57" t="inlineStr">
        <is>
          <t>A 28315-2022</t>
        </is>
      </c>
      <c r="B57" t="inlineStr">
        <is>
          <t>avverkningsanmälan</t>
        </is>
      </c>
      <c r="C57" t="inlineStr">
        <is>
          <t>Föryngringsavverkning</t>
        </is>
      </c>
      <c r="D57" s="1" t="n">
        <v>44747</v>
      </c>
      <c r="E57" s="1" t="n">
        <v>46218</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s="2" t="inlineStr"/>
    </row>
    <row r="58" ht="15" customHeight="1">
      <c r="A58" t="inlineStr">
        <is>
          <t>A 16751-2022</t>
        </is>
      </c>
      <c r="B58" t="inlineStr">
        <is>
          <t>avverkningsanmälan</t>
        </is>
      </c>
      <c r="C58" t="inlineStr">
        <is>
          <t>Föryngringsavverkning</t>
        </is>
      </c>
      <c r="D58" s="1" t="n">
        <v>44673</v>
      </c>
      <c r="E58" s="1" t="n">
        <v>46218</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s="2" t="inlineStr"/>
    </row>
    <row r="59" ht="15" customHeight="1">
      <c r="A59" t="inlineStr">
        <is>
          <t>A 47144-2022</t>
        </is>
      </c>
      <c r="B59" t="inlineStr">
        <is>
          <t>avverkningsanmälan</t>
        </is>
      </c>
      <c r="C59" t="inlineStr">
        <is>
          <t>Föryngringsavverkning</t>
        </is>
      </c>
      <c r="D59" s="1" t="n">
        <v>44852</v>
      </c>
      <c r="E59" s="1" t="n">
        <v>46218</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s="2" t="inlineStr"/>
    </row>
    <row r="60" ht="15" customHeight="1">
      <c r="A60" t="inlineStr">
        <is>
          <t>A 42693-2022</t>
        </is>
      </c>
      <c r="B60" t="inlineStr">
        <is>
          <t>avverkningsanmälan</t>
        </is>
      </c>
      <c r="C60" t="inlineStr">
        <is>
          <t>Föryngringsavverkning</t>
        </is>
      </c>
      <c r="D60" s="1" t="n">
        <v>44832</v>
      </c>
      <c r="E60" s="1" t="n">
        <v>46218</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s="2" t="inlineStr"/>
    </row>
    <row r="61" ht="15" customHeight="1">
      <c r="A61" t="inlineStr">
        <is>
          <t>A 42704-2022</t>
        </is>
      </c>
      <c r="B61" t="inlineStr">
        <is>
          <t>avverkningsanmälan</t>
        </is>
      </c>
      <c r="C61" t="inlineStr">
        <is>
          <t>Föryngringsavverkning</t>
        </is>
      </c>
      <c r="D61" s="1" t="n">
        <v>44832</v>
      </c>
      <c r="E61" s="1" t="n">
        <v>46218</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s="2" t="inlineStr"/>
    </row>
    <row r="62" ht="15" customHeight="1">
      <c r="A62" t="inlineStr">
        <is>
          <t>A 71037-2021</t>
        </is>
      </c>
      <c r="B62" t="inlineStr">
        <is>
          <t>avverkningsanmälan</t>
        </is>
      </c>
      <c r="C62" t="inlineStr">
        <is>
          <t>Föryngringsavverkning</t>
        </is>
      </c>
      <c r="D62" s="1" t="n">
        <v>44537</v>
      </c>
      <c r="E62" s="1" t="n">
        <v>46218</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s="2" t="inlineStr"/>
    </row>
    <row r="63" ht="15" customHeight="1">
      <c r="A63" t="inlineStr">
        <is>
          <t>A 51261-2021</t>
        </is>
      </c>
      <c r="B63" t="inlineStr">
        <is>
          <t>avverkningsanmälan</t>
        </is>
      </c>
      <c r="C63" t="inlineStr">
        <is>
          <t>Föryngringsavverkning</t>
        </is>
      </c>
      <c r="D63" s="1" t="n">
        <v>44461</v>
      </c>
      <c r="E63" s="1" t="n">
        <v>46218</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s="2" t="inlineStr"/>
    </row>
    <row r="64" ht="15" customHeight="1">
      <c r="A64" t="inlineStr">
        <is>
          <t>A 72285-2021</t>
        </is>
      </c>
      <c r="B64" t="inlineStr">
        <is>
          <t>avverkningsanmälan</t>
        </is>
      </c>
      <c r="C64" t="inlineStr">
        <is>
          <t>Föryngringsavverkning</t>
        </is>
      </c>
      <c r="D64" s="1" t="n">
        <v>44545</v>
      </c>
      <c r="E64" s="1" t="n">
        <v>46218</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s="2" t="inlineStr"/>
    </row>
    <row r="65" ht="15" customHeight="1">
      <c r="A65" t="inlineStr">
        <is>
          <t>A 71030-2021</t>
        </is>
      </c>
      <c r="B65" t="inlineStr">
        <is>
          <t>avverkningsanmälan</t>
        </is>
      </c>
      <c r="C65" t="inlineStr">
        <is>
          <t>Föryngringsavverkning</t>
        </is>
      </c>
      <c r="D65" s="1" t="n">
        <v>44538</v>
      </c>
      <c r="E65" s="1" t="n">
        <v>46218</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s="2" t="inlineStr"/>
    </row>
    <row r="66" ht="15" customHeight="1">
      <c r="A66" t="inlineStr">
        <is>
          <t>A 56794-2021</t>
        </is>
      </c>
      <c r="B66" t="inlineStr">
        <is>
          <t>avverkningsanmälan</t>
        </is>
      </c>
      <c r="C66" t="inlineStr">
        <is>
          <t>Föryngringsavverkning</t>
        </is>
      </c>
      <c r="D66" s="1" t="n">
        <v>44481</v>
      </c>
      <c r="E66" s="1" t="n">
        <v>46218</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s="2" t="inlineStr"/>
    </row>
    <row r="67" ht="15" customHeight="1">
      <c r="A67" t="inlineStr">
        <is>
          <t>A 24847-2022</t>
        </is>
      </c>
      <c r="B67" t="inlineStr">
        <is>
          <t>avverkningsanmälan</t>
        </is>
      </c>
      <c r="C67" t="inlineStr">
        <is>
          <t>Föryngringsavverkning</t>
        </is>
      </c>
      <c r="D67" s="1" t="n">
        <v>44728</v>
      </c>
      <c r="E67" s="1" t="n">
        <v>46218</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s="2" t="inlineStr"/>
    </row>
    <row r="68" ht="15" customHeight="1">
      <c r="A68" t="inlineStr">
        <is>
          <t>A 47145-2022</t>
        </is>
      </c>
      <c r="B68" t="inlineStr">
        <is>
          <t>avverkningsanmälan</t>
        </is>
      </c>
      <c r="C68" t="inlineStr">
        <is>
          <t>Föryngringsavverkning</t>
        </is>
      </c>
      <c r="D68" s="1" t="n">
        <v>44852</v>
      </c>
      <c r="E68" s="1" t="n">
        <v>46218</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s="2" t="inlineStr"/>
    </row>
    <row r="69" ht="15" customHeight="1">
      <c r="A69" t="inlineStr">
        <is>
          <t>A 45877-2022</t>
        </is>
      </c>
      <c r="B69" t="inlineStr">
        <is>
          <t>avverkningsanmälan</t>
        </is>
      </c>
      <c r="C69" t="inlineStr">
        <is>
          <t>Föryngringsavverkning</t>
        </is>
      </c>
      <c r="D69" s="1" t="n">
        <v>44846</v>
      </c>
      <c r="E69" s="1" t="n">
        <v>46218</v>
      </c>
      <c r="F69" t="inlineStr">
        <is>
          <t>ÖSTERGÖTLANDS LÄN</t>
        </is>
      </c>
      <c r="G69" t="inlineStr">
        <is>
          <t>BOXHOLM</t>
        </is>
      </c>
      <c r="I69" t="n">
        <v>0.5</v>
      </c>
      <c r="J69" t="n">
        <v>0</v>
      </c>
      <c r="K69" t="n">
        <v>0</v>
      </c>
      <c r="L69" t="n">
        <v>0</v>
      </c>
      <c r="M69" t="n">
        <v>0</v>
      </c>
      <c r="N69" t="n">
        <v>0</v>
      </c>
      <c r="O69" t="n">
        <v>0</v>
      </c>
      <c r="P69" t="n">
        <v>0</v>
      </c>
      <c r="Q69" t="n">
        <v>0</v>
      </c>
      <c r="R69" t="n">
        <v>0</v>
      </c>
      <c r="S69" t="n">
        <v>0</v>
      </c>
      <c r="T69" t="n">
        <v>0</v>
      </c>
      <c r="U69" s="2" t="inlineStr"/>
    </row>
    <row r="70" ht="15" customHeight="1">
      <c r="A70" t="inlineStr">
        <is>
          <t>A 50463-2022</t>
        </is>
      </c>
      <c r="B70" t="inlineStr">
        <is>
          <t>avverkningsanmälan</t>
        </is>
      </c>
      <c r="C70" t="inlineStr">
        <is>
          <t>Föryngringsavverkning</t>
        </is>
      </c>
      <c r="D70" s="1" t="n">
        <v>44866</v>
      </c>
      <c r="E70" s="1" t="n">
        <v>46218</v>
      </c>
      <c r="F70" t="inlineStr">
        <is>
          <t>ÖSTERGÖTLANDS LÄN</t>
        </is>
      </c>
      <c r="G70" t="inlineStr">
        <is>
          <t>BOXHOLM</t>
        </is>
      </c>
      <c r="H70" t="inlineStr">
        <is>
          <t>Övriga Aktiebolag</t>
        </is>
      </c>
      <c r="I70" t="n">
        <v>0.9</v>
      </c>
      <c r="J70" t="n">
        <v>0</v>
      </c>
      <c r="K70" t="n">
        <v>0</v>
      </c>
      <c r="L70" t="n">
        <v>0</v>
      </c>
      <c r="M70" t="n">
        <v>0</v>
      </c>
      <c r="N70" t="n">
        <v>0</v>
      </c>
      <c r="O70" t="n">
        <v>0</v>
      </c>
      <c r="P70" t="n">
        <v>0</v>
      </c>
      <c r="Q70" t="n">
        <v>0</v>
      </c>
      <c r="R70" t="n">
        <v>0</v>
      </c>
      <c r="S70" t="n">
        <v>0</v>
      </c>
      <c r="T70" t="n">
        <v>0</v>
      </c>
      <c r="U70" s="2" t="inlineStr"/>
    </row>
    <row r="71" ht="15" customHeight="1">
      <c r="A71" t="inlineStr">
        <is>
          <t>A 72287-2021</t>
        </is>
      </c>
      <c r="B71" t="inlineStr">
        <is>
          <t>avverkningsanmälan</t>
        </is>
      </c>
      <c r="C71" t="inlineStr">
        <is>
          <t>Föryngringsavverkning</t>
        </is>
      </c>
      <c r="D71" s="1" t="n">
        <v>44545</v>
      </c>
      <c r="E71" s="1" t="n">
        <v>46218</v>
      </c>
      <c r="F71" t="inlineStr">
        <is>
          <t>ÖSTERGÖTLANDS LÄN</t>
        </is>
      </c>
      <c r="G71" t="inlineStr">
        <is>
          <t>BOXHOLM</t>
        </is>
      </c>
      <c r="I71" t="n">
        <v>0.9</v>
      </c>
      <c r="J71" t="n">
        <v>0</v>
      </c>
      <c r="K71" t="n">
        <v>0</v>
      </c>
      <c r="L71" t="n">
        <v>0</v>
      </c>
      <c r="M71" t="n">
        <v>0</v>
      </c>
      <c r="N71" t="n">
        <v>0</v>
      </c>
      <c r="O71" t="n">
        <v>0</v>
      </c>
      <c r="P71" t="n">
        <v>0</v>
      </c>
      <c r="Q71" t="n">
        <v>0</v>
      </c>
      <c r="R71" t="n">
        <v>0</v>
      </c>
      <c r="S71" t="n">
        <v>0</v>
      </c>
      <c r="T71" t="n">
        <v>0</v>
      </c>
      <c r="U71" s="2" t="inlineStr"/>
    </row>
    <row r="72" ht="15" customHeight="1">
      <c r="A72" t="inlineStr">
        <is>
          <t>A 19566-2022</t>
        </is>
      </c>
      <c r="B72" t="inlineStr">
        <is>
          <t>avverkningsanmälan</t>
        </is>
      </c>
      <c r="C72" t="inlineStr">
        <is>
          <t>Föryngringsavverkning</t>
        </is>
      </c>
      <c r="D72" s="1" t="n">
        <v>44693</v>
      </c>
      <c r="E72" s="1" t="n">
        <v>46218</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s="2" t="inlineStr"/>
    </row>
    <row r="73" ht="15" customHeight="1">
      <c r="A73" t="inlineStr">
        <is>
          <t>A 1925-2022</t>
        </is>
      </c>
      <c r="B73" t="inlineStr">
        <is>
          <t>avverkningsanmälan</t>
        </is>
      </c>
      <c r="C73" t="inlineStr">
        <is>
          <t>Föryngringsavverkning</t>
        </is>
      </c>
      <c r="D73" s="1" t="n">
        <v>44575</v>
      </c>
      <c r="E73" s="1" t="n">
        <v>46218</v>
      </c>
      <c r="F73" t="inlineStr">
        <is>
          <t>ÖSTERGÖTLANDS LÄN</t>
        </is>
      </c>
      <c r="G73" t="inlineStr">
        <is>
          <t>BOXHOLM</t>
        </is>
      </c>
      <c r="I73" t="n">
        <v>1.2</v>
      </c>
      <c r="J73" t="n">
        <v>0</v>
      </c>
      <c r="K73" t="n">
        <v>0</v>
      </c>
      <c r="L73" t="n">
        <v>0</v>
      </c>
      <c r="M73" t="n">
        <v>0</v>
      </c>
      <c r="N73" t="n">
        <v>0</v>
      </c>
      <c r="O73" t="n">
        <v>0</v>
      </c>
      <c r="P73" t="n">
        <v>0</v>
      </c>
      <c r="Q73" t="n">
        <v>0</v>
      </c>
      <c r="R73" t="n">
        <v>0</v>
      </c>
      <c r="S73" t="n">
        <v>0</v>
      </c>
      <c r="T73" t="n">
        <v>0</v>
      </c>
      <c r="U73" s="2" t="inlineStr"/>
    </row>
    <row r="74" ht="15" customHeight="1">
      <c r="A74" t="inlineStr">
        <is>
          <t>A 28309-2022</t>
        </is>
      </c>
      <c r="B74" t="inlineStr">
        <is>
          <t>avverkningsanmälan</t>
        </is>
      </c>
      <c r="C74" t="inlineStr">
        <is>
          <t>Föryngringsavverkning</t>
        </is>
      </c>
      <c r="D74" s="1" t="n">
        <v>44747</v>
      </c>
      <c r="E74" s="1" t="n">
        <v>46218</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s="2" t="inlineStr"/>
    </row>
    <row r="75" ht="15" customHeight="1">
      <c r="A75" t="inlineStr">
        <is>
          <t>A 22046-2022</t>
        </is>
      </c>
      <c r="B75" t="inlineStr">
        <is>
          <t>avverkningsanmälan</t>
        </is>
      </c>
      <c r="C75" t="inlineStr">
        <is>
          <t>Föryngringsavverkning</t>
        </is>
      </c>
      <c r="D75" s="1" t="n">
        <v>44711</v>
      </c>
      <c r="E75" s="1" t="n">
        <v>46218</v>
      </c>
      <c r="F75" t="inlineStr">
        <is>
          <t>ÖSTERGÖTLANDS LÄN</t>
        </is>
      </c>
      <c r="G75" t="inlineStr">
        <is>
          <t>BOXHOLM</t>
        </is>
      </c>
      <c r="H75" t="inlineStr">
        <is>
          <t>Övriga Aktiebolag</t>
        </is>
      </c>
      <c r="I75" t="n">
        <v>0.4</v>
      </c>
      <c r="J75" t="n">
        <v>0</v>
      </c>
      <c r="K75" t="n">
        <v>0</v>
      </c>
      <c r="L75" t="n">
        <v>0</v>
      </c>
      <c r="M75" t="n">
        <v>0</v>
      </c>
      <c r="N75" t="n">
        <v>0</v>
      </c>
      <c r="O75" t="n">
        <v>0</v>
      </c>
      <c r="P75" t="n">
        <v>0</v>
      </c>
      <c r="Q75" t="n">
        <v>0</v>
      </c>
      <c r="R75" t="n">
        <v>0</v>
      </c>
      <c r="S75" t="n">
        <v>0</v>
      </c>
      <c r="T75" t="n">
        <v>0</v>
      </c>
      <c r="U75" s="2" t="inlineStr"/>
    </row>
    <row r="76" ht="15" customHeight="1">
      <c r="A76" t="inlineStr">
        <is>
          <t>A 36281-2022</t>
        </is>
      </c>
      <c r="B76" t="inlineStr">
        <is>
          <t>avverkningsanmälan</t>
        </is>
      </c>
      <c r="C76" t="inlineStr">
        <is>
          <t>Föryngringsavverkning</t>
        </is>
      </c>
      <c r="D76" s="1" t="n">
        <v>44803</v>
      </c>
      <c r="E76" s="1" t="n">
        <v>46218</v>
      </c>
      <c r="F76" t="inlineStr">
        <is>
          <t>ÖSTERGÖTLANDS LÄN</t>
        </is>
      </c>
      <c r="G76" t="inlineStr">
        <is>
          <t>BOXHOLM</t>
        </is>
      </c>
      <c r="I76" t="n">
        <v>0.8</v>
      </c>
      <c r="J76" t="n">
        <v>0</v>
      </c>
      <c r="K76" t="n">
        <v>0</v>
      </c>
      <c r="L76" t="n">
        <v>0</v>
      </c>
      <c r="M76" t="n">
        <v>0</v>
      </c>
      <c r="N76" t="n">
        <v>0</v>
      </c>
      <c r="O76" t="n">
        <v>0</v>
      </c>
      <c r="P76" t="n">
        <v>0</v>
      </c>
      <c r="Q76" t="n">
        <v>0</v>
      </c>
      <c r="R76" t="n">
        <v>0</v>
      </c>
      <c r="S76" t="n">
        <v>0</v>
      </c>
      <c r="T76" t="n">
        <v>0</v>
      </c>
      <c r="U76" s="2" t="inlineStr"/>
    </row>
    <row r="77" ht="15" customHeight="1">
      <c r="A77" t="inlineStr">
        <is>
          <t>A 67371-2021</t>
        </is>
      </c>
      <c r="B77" t="inlineStr">
        <is>
          <t>avverkningsanmälan</t>
        </is>
      </c>
      <c r="C77" t="inlineStr">
        <is>
          <t>Föryngringsavverkning</t>
        </is>
      </c>
      <c r="D77" s="1" t="n">
        <v>44523</v>
      </c>
      <c r="E77" s="1" t="n">
        <v>46218</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s="2" t="inlineStr"/>
    </row>
    <row r="78" ht="15" customHeight="1">
      <c r="A78" t="inlineStr">
        <is>
          <t>A 24859-2022</t>
        </is>
      </c>
      <c r="B78" t="inlineStr">
        <is>
          <t>avverkningsanmälan</t>
        </is>
      </c>
      <c r="C78" t="inlineStr">
        <is>
          <t>Föryngringsavverkning</t>
        </is>
      </c>
      <c r="D78" s="1" t="n">
        <v>44728</v>
      </c>
      <c r="E78" s="1" t="n">
        <v>46218</v>
      </c>
      <c r="F78" t="inlineStr">
        <is>
          <t>ÖSTERGÖTLANDS LÄN</t>
        </is>
      </c>
      <c r="G78" t="inlineStr">
        <is>
          <t>BOXHOLM</t>
        </is>
      </c>
      <c r="H78" t="inlineStr">
        <is>
          <t>Övriga Aktiebolag</t>
        </is>
      </c>
      <c r="I78" t="n">
        <v>0.7</v>
      </c>
      <c r="J78" t="n">
        <v>0</v>
      </c>
      <c r="K78" t="n">
        <v>0</v>
      </c>
      <c r="L78" t="n">
        <v>0</v>
      </c>
      <c r="M78" t="n">
        <v>0</v>
      </c>
      <c r="N78" t="n">
        <v>0</v>
      </c>
      <c r="O78" t="n">
        <v>0</v>
      </c>
      <c r="P78" t="n">
        <v>0</v>
      </c>
      <c r="Q78" t="n">
        <v>0</v>
      </c>
      <c r="R78" t="n">
        <v>0</v>
      </c>
      <c r="S78" t="n">
        <v>0</v>
      </c>
      <c r="T78" t="n">
        <v>0</v>
      </c>
      <c r="U78" s="2" t="inlineStr"/>
    </row>
    <row r="79" ht="15" customHeight="1">
      <c r="A79" t="inlineStr">
        <is>
          <t>A 67362-2021</t>
        </is>
      </c>
      <c r="B79" t="inlineStr">
        <is>
          <t>avverkningsanmälan</t>
        </is>
      </c>
      <c r="C79" t="inlineStr">
        <is>
          <t>Föryngringsavverkning</t>
        </is>
      </c>
      <c r="D79" s="1" t="n">
        <v>44523</v>
      </c>
      <c r="E79" s="1" t="n">
        <v>46218</v>
      </c>
      <c r="F79" t="inlineStr">
        <is>
          <t>ÖSTERGÖTLANDS LÄN</t>
        </is>
      </c>
      <c r="G79" t="inlineStr">
        <is>
          <t>BOXHOLM</t>
        </is>
      </c>
      <c r="I79" t="n">
        <v>1.4</v>
      </c>
      <c r="J79" t="n">
        <v>0</v>
      </c>
      <c r="K79" t="n">
        <v>0</v>
      </c>
      <c r="L79" t="n">
        <v>0</v>
      </c>
      <c r="M79" t="n">
        <v>0</v>
      </c>
      <c r="N79" t="n">
        <v>0</v>
      </c>
      <c r="O79" t="n">
        <v>0</v>
      </c>
      <c r="P79" t="n">
        <v>0</v>
      </c>
      <c r="Q79" t="n">
        <v>0</v>
      </c>
      <c r="R79" t="n">
        <v>0</v>
      </c>
      <c r="S79" t="n">
        <v>0</v>
      </c>
      <c r="T79" t="n">
        <v>0</v>
      </c>
      <c r="U79" s="2" t="inlineStr"/>
    </row>
    <row r="80" ht="15" customHeight="1">
      <c r="A80" t="inlineStr">
        <is>
          <t>A 40308-2022</t>
        </is>
      </c>
      <c r="B80" t="inlineStr">
        <is>
          <t>avverkningsanmälan</t>
        </is>
      </c>
      <c r="C80" t="inlineStr">
        <is>
          <t>Föryngringsavverkning</t>
        </is>
      </c>
      <c r="D80" s="1" t="n">
        <v>44822</v>
      </c>
      <c r="E80" s="1" t="n">
        <v>46218</v>
      </c>
      <c r="F80" t="inlineStr">
        <is>
          <t>ÖSTERGÖTLANDS LÄN</t>
        </is>
      </c>
      <c r="G80" t="inlineStr">
        <is>
          <t>BOXHOLM</t>
        </is>
      </c>
      <c r="I80" t="n">
        <v>1.1</v>
      </c>
      <c r="J80" t="n">
        <v>0</v>
      </c>
      <c r="K80" t="n">
        <v>0</v>
      </c>
      <c r="L80" t="n">
        <v>0</v>
      </c>
      <c r="M80" t="n">
        <v>0</v>
      </c>
      <c r="N80" t="n">
        <v>0</v>
      </c>
      <c r="O80" t="n">
        <v>0</v>
      </c>
      <c r="P80" t="n">
        <v>0</v>
      </c>
      <c r="Q80" t="n">
        <v>0</v>
      </c>
      <c r="R80" t="n">
        <v>0</v>
      </c>
      <c r="S80" t="n">
        <v>0</v>
      </c>
      <c r="T80" t="n">
        <v>0</v>
      </c>
      <c r="U80" s="2" t="inlineStr"/>
    </row>
    <row r="81" ht="15" customHeight="1">
      <c r="A81" t="inlineStr">
        <is>
          <t>A 42696-2022</t>
        </is>
      </c>
      <c r="B81" t="inlineStr">
        <is>
          <t>avverkningsanmälan</t>
        </is>
      </c>
      <c r="C81" t="inlineStr">
        <is>
          <t>Föryngringsavverkning</t>
        </is>
      </c>
      <c r="D81" s="1" t="n">
        <v>44832</v>
      </c>
      <c r="E81" s="1" t="n">
        <v>46218</v>
      </c>
      <c r="F81" t="inlineStr">
        <is>
          <t>ÖSTERGÖTLANDS LÄN</t>
        </is>
      </c>
      <c r="G81" t="inlineStr">
        <is>
          <t>BOXHOLM</t>
        </is>
      </c>
      <c r="H81" t="inlineStr">
        <is>
          <t>Övriga Aktiebolag</t>
        </is>
      </c>
      <c r="I81" t="n">
        <v>0.8</v>
      </c>
      <c r="J81" t="n">
        <v>0</v>
      </c>
      <c r="K81" t="n">
        <v>0</v>
      </c>
      <c r="L81" t="n">
        <v>0</v>
      </c>
      <c r="M81" t="n">
        <v>0</v>
      </c>
      <c r="N81" t="n">
        <v>0</v>
      </c>
      <c r="O81" t="n">
        <v>0</v>
      </c>
      <c r="P81" t="n">
        <v>0</v>
      </c>
      <c r="Q81" t="n">
        <v>0</v>
      </c>
      <c r="R81" t="n">
        <v>0</v>
      </c>
      <c r="S81" t="n">
        <v>0</v>
      </c>
      <c r="T81" t="n">
        <v>0</v>
      </c>
      <c r="U81" s="2" t="inlineStr"/>
    </row>
    <row r="82" ht="15" customHeight="1">
      <c r="A82" t="inlineStr">
        <is>
          <t>A 48475-2024</t>
        </is>
      </c>
      <c r="B82" t="inlineStr">
        <is>
          <t>avverkningsanmälan</t>
        </is>
      </c>
      <c r="C82" t="inlineStr">
        <is>
          <t>Föryngringsavverkning</t>
        </is>
      </c>
      <c r="D82" s="1" t="n">
        <v>45591</v>
      </c>
      <c r="E82" s="1" t="n">
        <v>46218</v>
      </c>
      <c r="F82" t="inlineStr">
        <is>
          <t>ÖSTERGÖTLANDS LÄN</t>
        </is>
      </c>
      <c r="G82" t="inlineStr">
        <is>
          <t>BOXHOLM</t>
        </is>
      </c>
      <c r="I82" t="n">
        <v>1.2</v>
      </c>
      <c r="J82" t="n">
        <v>0</v>
      </c>
      <c r="K82" t="n">
        <v>0</v>
      </c>
      <c r="L82" t="n">
        <v>0</v>
      </c>
      <c r="M82" t="n">
        <v>0</v>
      </c>
      <c r="N82" t="n">
        <v>0</v>
      </c>
      <c r="O82" t="n">
        <v>0</v>
      </c>
      <c r="P82" t="n">
        <v>0</v>
      </c>
      <c r="Q82" t="n">
        <v>0</v>
      </c>
      <c r="R82" t="n">
        <v>0</v>
      </c>
      <c r="S82" t="n">
        <v>0</v>
      </c>
      <c r="T82" t="n">
        <v>0</v>
      </c>
      <c r="U82" s="2" t="inlineStr"/>
    </row>
    <row r="83" ht="15" customHeight="1">
      <c r="A83" t="inlineStr">
        <is>
          <t>A 24508-2024</t>
        </is>
      </c>
      <c r="B83" t="inlineStr">
        <is>
          <t>avverkningsanmälan</t>
        </is>
      </c>
      <c r="C83" t="inlineStr">
        <is>
          <t>Föryngringsavverkning</t>
        </is>
      </c>
      <c r="D83" s="1" t="n">
        <v>45460</v>
      </c>
      <c r="E83" s="1" t="n">
        <v>46218</v>
      </c>
      <c r="F83" t="inlineStr">
        <is>
          <t>ÖSTERGÖTLANDS LÄN</t>
        </is>
      </c>
      <c r="G83" t="inlineStr">
        <is>
          <t>BOXHOLM</t>
        </is>
      </c>
      <c r="I83" t="n">
        <v>0.4</v>
      </c>
      <c r="J83" t="n">
        <v>0</v>
      </c>
      <c r="K83" t="n">
        <v>0</v>
      </c>
      <c r="L83" t="n">
        <v>0</v>
      </c>
      <c r="M83" t="n">
        <v>0</v>
      </c>
      <c r="N83" t="n">
        <v>0</v>
      </c>
      <c r="O83" t="n">
        <v>0</v>
      </c>
      <c r="P83" t="n">
        <v>0</v>
      </c>
      <c r="Q83" t="n">
        <v>0</v>
      </c>
      <c r="R83" t="n">
        <v>0</v>
      </c>
      <c r="S83" t="n">
        <v>0</v>
      </c>
      <c r="T83" t="n">
        <v>0</v>
      </c>
      <c r="U83" s="2" t="inlineStr"/>
    </row>
    <row r="84" ht="15" customHeight="1">
      <c r="A84" t="inlineStr">
        <is>
          <t>A 51509-2021</t>
        </is>
      </c>
      <c r="B84" t="inlineStr">
        <is>
          <t>avverkningsanmälan</t>
        </is>
      </c>
      <c r="C84" t="inlineStr">
        <is>
          <t>Föryngringsavverkning</t>
        </is>
      </c>
      <c r="D84" s="1" t="n">
        <v>44460</v>
      </c>
      <c r="E84" s="1" t="n">
        <v>46218</v>
      </c>
      <c r="F84" t="inlineStr">
        <is>
          <t>ÖSTERGÖTLANDS LÄN</t>
        </is>
      </c>
      <c r="G84" t="inlineStr">
        <is>
          <t>BOXHOLM</t>
        </is>
      </c>
      <c r="I84" t="n">
        <v>0.5</v>
      </c>
      <c r="J84" t="n">
        <v>0</v>
      </c>
      <c r="K84" t="n">
        <v>0</v>
      </c>
      <c r="L84" t="n">
        <v>0</v>
      </c>
      <c r="M84" t="n">
        <v>0</v>
      </c>
      <c r="N84" t="n">
        <v>0</v>
      </c>
      <c r="O84" t="n">
        <v>0</v>
      </c>
      <c r="P84" t="n">
        <v>0</v>
      </c>
      <c r="Q84" t="n">
        <v>0</v>
      </c>
      <c r="R84" t="n">
        <v>0</v>
      </c>
      <c r="S84" t="n">
        <v>0</v>
      </c>
      <c r="T84" t="n">
        <v>0</v>
      </c>
      <c r="U84" s="2" t="inlineStr"/>
    </row>
    <row r="85" ht="15" customHeight="1">
      <c r="A85" t="inlineStr">
        <is>
          <t>A 7290-2025</t>
        </is>
      </c>
      <c r="B85" t="inlineStr">
        <is>
          <t>avverkningsanmälan</t>
        </is>
      </c>
      <c r="C85" t="inlineStr">
        <is>
          <t>Avverkning för annat ändamål</t>
        </is>
      </c>
      <c r="D85" s="1" t="n">
        <v>45702</v>
      </c>
      <c r="E85" s="1" t="n">
        <v>46218</v>
      </c>
      <c r="F85" t="inlineStr">
        <is>
          <t>ÖSTERGÖTLANDS LÄN</t>
        </is>
      </c>
      <c r="G85" t="inlineStr">
        <is>
          <t>BOXHOLM</t>
        </is>
      </c>
      <c r="I85" t="n">
        <v>2</v>
      </c>
      <c r="J85" t="n">
        <v>0</v>
      </c>
      <c r="K85" t="n">
        <v>0</v>
      </c>
      <c r="L85" t="n">
        <v>0</v>
      </c>
      <c r="M85" t="n">
        <v>0</v>
      </c>
      <c r="N85" t="n">
        <v>0</v>
      </c>
      <c r="O85" t="n">
        <v>0</v>
      </c>
      <c r="P85" t="n">
        <v>0</v>
      </c>
      <c r="Q85" t="n">
        <v>0</v>
      </c>
      <c r="R85" t="n">
        <v>0</v>
      </c>
      <c r="S85" t="n">
        <v>0</v>
      </c>
      <c r="T85" t="n">
        <v>0</v>
      </c>
      <c r="U85" s="2" t="inlineStr"/>
    </row>
    <row r="86" ht="15" customHeight="1">
      <c r="A86" t="inlineStr">
        <is>
          <t>A 17679-2025</t>
        </is>
      </c>
      <c r="B86" t="inlineStr">
        <is>
          <t>avverkningsanmälan</t>
        </is>
      </c>
      <c r="C86" t="inlineStr">
        <is>
          <t>Avverkning för att bevara och utveckla /försöksver</t>
        </is>
      </c>
      <c r="D86" s="1" t="n">
        <v>45758</v>
      </c>
      <c r="E86" s="1" t="n">
        <v>46218</v>
      </c>
      <c r="F86" t="inlineStr">
        <is>
          <t>ÖSTERGÖTLANDS LÄN</t>
        </is>
      </c>
      <c r="G86" t="inlineStr">
        <is>
          <t>BOXHOLM</t>
        </is>
      </c>
      <c r="H86" t="inlineStr">
        <is>
          <t>Övriga Aktiebolag</t>
        </is>
      </c>
      <c r="I86" t="n">
        <v>0.7</v>
      </c>
      <c r="J86" t="n">
        <v>0</v>
      </c>
      <c r="K86" t="n">
        <v>0</v>
      </c>
      <c r="L86" t="n">
        <v>0</v>
      </c>
      <c r="M86" t="n">
        <v>0</v>
      </c>
      <c r="N86" t="n">
        <v>0</v>
      </c>
      <c r="O86" t="n">
        <v>0</v>
      </c>
      <c r="P86" t="n">
        <v>0</v>
      </c>
      <c r="Q86" t="n">
        <v>0</v>
      </c>
      <c r="R86" t="n">
        <v>0</v>
      </c>
      <c r="S86" t="n">
        <v>0</v>
      </c>
      <c r="T86" t="n">
        <v>0</v>
      </c>
      <c r="U86" s="2" t="inlineStr"/>
    </row>
    <row r="87" ht="15" customHeight="1">
      <c r="A87" t="inlineStr">
        <is>
          <t>A 51545-2023</t>
        </is>
      </c>
      <c r="B87" t="inlineStr">
        <is>
          <t>avverkningsanmälan</t>
        </is>
      </c>
      <c r="C87" t="inlineStr">
        <is>
          <t>Föryngringsavverkning</t>
        </is>
      </c>
      <c r="D87" s="1" t="n">
        <v>45222</v>
      </c>
      <c r="E87" s="1" t="n">
        <v>46218</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s="2" t="inlineStr"/>
    </row>
    <row r="88" ht="15" customHeight="1">
      <c r="A88" t="inlineStr">
        <is>
          <t>A 15498-2023</t>
        </is>
      </c>
      <c r="B88" t="inlineStr">
        <is>
          <t>avverkningsanmälan</t>
        </is>
      </c>
      <c r="C88" t="inlineStr">
        <is>
          <t>Föryngringsavverkning</t>
        </is>
      </c>
      <c r="D88" s="1" t="n">
        <v>45020</v>
      </c>
      <c r="E88" s="1" t="n">
        <v>46218</v>
      </c>
      <c r="F88" t="inlineStr">
        <is>
          <t>ÖSTERGÖTLANDS LÄN</t>
        </is>
      </c>
      <c r="G88" t="inlineStr">
        <is>
          <t>BOXHOLM</t>
        </is>
      </c>
      <c r="I88" t="n">
        <v>0.6</v>
      </c>
      <c r="J88" t="n">
        <v>0</v>
      </c>
      <c r="K88" t="n">
        <v>0</v>
      </c>
      <c r="L88" t="n">
        <v>0</v>
      </c>
      <c r="M88" t="n">
        <v>0</v>
      </c>
      <c r="N88" t="n">
        <v>0</v>
      </c>
      <c r="O88" t="n">
        <v>0</v>
      </c>
      <c r="P88" t="n">
        <v>0</v>
      </c>
      <c r="Q88" t="n">
        <v>0</v>
      </c>
      <c r="R88" t="n">
        <v>0</v>
      </c>
      <c r="S88" t="n">
        <v>0</v>
      </c>
      <c r="T88" t="n">
        <v>0</v>
      </c>
      <c r="U88" s="2" t="inlineStr"/>
    </row>
    <row r="89" ht="15" customHeight="1">
      <c r="A89" t="inlineStr">
        <is>
          <t>A 40290-2024</t>
        </is>
      </c>
      <c r="B89" t="inlineStr">
        <is>
          <t>avverkningsanmälan</t>
        </is>
      </c>
      <c r="C89" t="inlineStr">
        <is>
          <t>Föryngringsavverkning</t>
        </is>
      </c>
      <c r="D89" s="1" t="n">
        <v>45554</v>
      </c>
      <c r="E89" s="1" t="n">
        <v>46218</v>
      </c>
      <c r="F89" t="inlineStr">
        <is>
          <t>ÖSTERGÖTLANDS LÄN</t>
        </is>
      </c>
      <c r="G89" t="inlineStr">
        <is>
          <t>BOXHOLM</t>
        </is>
      </c>
      <c r="I89" t="n">
        <v>2.2</v>
      </c>
      <c r="J89" t="n">
        <v>0</v>
      </c>
      <c r="K89" t="n">
        <v>0</v>
      </c>
      <c r="L89" t="n">
        <v>0</v>
      </c>
      <c r="M89" t="n">
        <v>0</v>
      </c>
      <c r="N89" t="n">
        <v>0</v>
      </c>
      <c r="O89" t="n">
        <v>0</v>
      </c>
      <c r="P89" t="n">
        <v>0</v>
      </c>
      <c r="Q89" t="n">
        <v>0</v>
      </c>
      <c r="R89" t="n">
        <v>0</v>
      </c>
      <c r="S89" t="n">
        <v>0</v>
      </c>
      <c r="T89" t="n">
        <v>0</v>
      </c>
      <c r="U89" s="2" t="inlineStr"/>
    </row>
    <row r="90" ht="15" customHeight="1">
      <c r="A90" t="inlineStr">
        <is>
          <t>A 48560-2022</t>
        </is>
      </c>
      <c r="B90" t="inlineStr">
        <is>
          <t>avverkningsanmälan</t>
        </is>
      </c>
      <c r="C90" t="inlineStr">
        <is>
          <t>Föryngringsavverkning</t>
        </is>
      </c>
      <c r="D90" s="1" t="n">
        <v>44859</v>
      </c>
      <c r="E90" s="1" t="n">
        <v>46218</v>
      </c>
      <c r="F90" t="inlineStr">
        <is>
          <t>ÖSTERGÖTLANDS LÄN</t>
        </is>
      </c>
      <c r="G90" t="inlineStr">
        <is>
          <t>BOXHOLM</t>
        </is>
      </c>
      <c r="H90" t="inlineStr">
        <is>
          <t>Övriga Aktiebolag</t>
        </is>
      </c>
      <c r="I90" t="n">
        <v>1.5</v>
      </c>
      <c r="J90" t="n">
        <v>0</v>
      </c>
      <c r="K90" t="n">
        <v>0</v>
      </c>
      <c r="L90" t="n">
        <v>0</v>
      </c>
      <c r="M90" t="n">
        <v>0</v>
      </c>
      <c r="N90" t="n">
        <v>0</v>
      </c>
      <c r="O90" t="n">
        <v>0</v>
      </c>
      <c r="P90" t="n">
        <v>0</v>
      </c>
      <c r="Q90" t="n">
        <v>0</v>
      </c>
      <c r="R90" t="n">
        <v>0</v>
      </c>
      <c r="S90" t="n">
        <v>0</v>
      </c>
      <c r="T90" t="n">
        <v>0</v>
      </c>
      <c r="U90" s="2" t="inlineStr"/>
    </row>
    <row r="91" ht="15" customHeight="1">
      <c r="A91" t="inlineStr">
        <is>
          <t>A 15500-2025</t>
        </is>
      </c>
      <c r="B91" t="inlineStr">
        <is>
          <t>avverkningsanmälan</t>
        </is>
      </c>
      <c r="C91" t="inlineStr">
        <is>
          <t>Avverkning för att bevara och utveckla /försöksver</t>
        </is>
      </c>
      <c r="D91" s="1" t="n">
        <v>45747</v>
      </c>
      <c r="E91" s="1" t="n">
        <v>46218</v>
      </c>
      <c r="F91" t="inlineStr">
        <is>
          <t>ÖSTERGÖTLANDS LÄN</t>
        </is>
      </c>
      <c r="G91" t="inlineStr">
        <is>
          <t>BOXHOLM</t>
        </is>
      </c>
      <c r="H91" t="inlineStr">
        <is>
          <t>Övriga Aktiebolag</t>
        </is>
      </c>
      <c r="I91" t="n">
        <v>0.7</v>
      </c>
      <c r="J91" t="n">
        <v>0</v>
      </c>
      <c r="K91" t="n">
        <v>0</v>
      </c>
      <c r="L91" t="n">
        <v>0</v>
      </c>
      <c r="M91" t="n">
        <v>0</v>
      </c>
      <c r="N91" t="n">
        <v>0</v>
      </c>
      <c r="O91" t="n">
        <v>0</v>
      </c>
      <c r="P91" t="n">
        <v>0</v>
      </c>
      <c r="Q91" t="n">
        <v>0</v>
      </c>
      <c r="R91" t="n">
        <v>0</v>
      </c>
      <c r="S91" t="n">
        <v>0</v>
      </c>
      <c r="T91" t="n">
        <v>0</v>
      </c>
      <c r="U91" s="2" t="inlineStr"/>
    </row>
    <row r="92" ht="15" customHeight="1">
      <c r="A92" t="inlineStr">
        <is>
          <t>A 37400-2023</t>
        </is>
      </c>
      <c r="B92" t="inlineStr">
        <is>
          <t>avverkningsanmälan</t>
        </is>
      </c>
      <c r="C92" t="inlineStr">
        <is>
          <t>Föryngringsavverkning</t>
        </is>
      </c>
      <c r="D92" s="1" t="n">
        <v>45156</v>
      </c>
      <c r="E92" s="1" t="n">
        <v>46218</v>
      </c>
      <c r="F92" t="inlineStr">
        <is>
          <t>ÖSTERGÖTLANDS LÄN</t>
        </is>
      </c>
      <c r="G92" t="inlineStr">
        <is>
          <t>BOXHOLM</t>
        </is>
      </c>
      <c r="I92" t="n">
        <v>2.1</v>
      </c>
      <c r="J92" t="n">
        <v>0</v>
      </c>
      <c r="K92" t="n">
        <v>0</v>
      </c>
      <c r="L92" t="n">
        <v>0</v>
      </c>
      <c r="M92" t="n">
        <v>0</v>
      </c>
      <c r="N92" t="n">
        <v>0</v>
      </c>
      <c r="O92" t="n">
        <v>0</v>
      </c>
      <c r="P92" t="n">
        <v>0</v>
      </c>
      <c r="Q92" t="n">
        <v>0</v>
      </c>
      <c r="R92" t="n">
        <v>0</v>
      </c>
      <c r="S92" t="n">
        <v>0</v>
      </c>
      <c r="T92" t="n">
        <v>0</v>
      </c>
      <c r="U92" s="2" t="inlineStr"/>
    </row>
    <row r="93" ht="15" customHeight="1">
      <c r="A93" t="inlineStr">
        <is>
          <t>A 3129-2025</t>
        </is>
      </c>
      <c r="B93" t="inlineStr">
        <is>
          <t>avverkningsanmälan</t>
        </is>
      </c>
      <c r="C93" t="inlineStr">
        <is>
          <t>Föryngringsavverkning</t>
        </is>
      </c>
      <c r="D93" s="1" t="n">
        <v>45678</v>
      </c>
      <c r="E93" s="1" t="n">
        <v>46218</v>
      </c>
      <c r="F93" t="inlineStr">
        <is>
          <t>ÖSTERGÖTLANDS LÄN</t>
        </is>
      </c>
      <c r="G93" t="inlineStr">
        <is>
          <t>BOXHOLM</t>
        </is>
      </c>
      <c r="H93" t="inlineStr">
        <is>
          <t>Allmännings- och besparingsskogar</t>
        </is>
      </c>
      <c r="I93" t="n">
        <v>2.9</v>
      </c>
      <c r="J93" t="n">
        <v>0</v>
      </c>
      <c r="K93" t="n">
        <v>0</v>
      </c>
      <c r="L93" t="n">
        <v>0</v>
      </c>
      <c r="M93" t="n">
        <v>0</v>
      </c>
      <c r="N93" t="n">
        <v>0</v>
      </c>
      <c r="O93" t="n">
        <v>0</v>
      </c>
      <c r="P93" t="n">
        <v>0</v>
      </c>
      <c r="Q93" t="n">
        <v>0</v>
      </c>
      <c r="R93" t="n">
        <v>0</v>
      </c>
      <c r="S93" t="n">
        <v>0</v>
      </c>
      <c r="T93" t="n">
        <v>0</v>
      </c>
      <c r="U93" s="2" t="inlineStr"/>
    </row>
    <row r="94" ht="15" customHeight="1">
      <c r="A94" t="inlineStr">
        <is>
          <t>A 19601-2023</t>
        </is>
      </c>
      <c r="B94" t="inlineStr">
        <is>
          <t>avverkningsanmälan</t>
        </is>
      </c>
      <c r="C94" t="inlineStr">
        <is>
          <t>Föryngringsavverkning</t>
        </is>
      </c>
      <c r="D94" s="1" t="n">
        <v>45050</v>
      </c>
      <c r="E94" s="1" t="n">
        <v>46218</v>
      </c>
      <c r="F94" t="inlineStr">
        <is>
          <t>ÖSTERGÖTLANDS LÄN</t>
        </is>
      </c>
      <c r="G94" t="inlineStr">
        <is>
          <t>BOXHOLM</t>
        </is>
      </c>
      <c r="I94" t="n">
        <v>7.2</v>
      </c>
      <c r="J94" t="n">
        <v>0</v>
      </c>
      <c r="K94" t="n">
        <v>0</v>
      </c>
      <c r="L94" t="n">
        <v>0</v>
      </c>
      <c r="M94" t="n">
        <v>0</v>
      </c>
      <c r="N94" t="n">
        <v>0</v>
      </c>
      <c r="O94" t="n">
        <v>0</v>
      </c>
      <c r="P94" t="n">
        <v>0</v>
      </c>
      <c r="Q94" t="n">
        <v>0</v>
      </c>
      <c r="R94" t="n">
        <v>0</v>
      </c>
      <c r="S94" t="n">
        <v>0</v>
      </c>
      <c r="T94" t="n">
        <v>0</v>
      </c>
      <c r="U94" s="2" t="inlineStr"/>
    </row>
    <row r="95" ht="15" customHeight="1">
      <c r="A95" t="inlineStr">
        <is>
          <t>A 931-2024</t>
        </is>
      </c>
      <c r="B95" t="inlineStr">
        <is>
          <t>avverkningsanmälan</t>
        </is>
      </c>
      <c r="C95" t="inlineStr">
        <is>
          <t>Föryngringsavverkning</t>
        </is>
      </c>
      <c r="D95" s="1" t="n">
        <v>45301</v>
      </c>
      <c r="E95" s="1" t="n">
        <v>46218</v>
      </c>
      <c r="F95" t="inlineStr">
        <is>
          <t>ÖSTERGÖTLANDS LÄN</t>
        </is>
      </c>
      <c r="G95" t="inlineStr">
        <is>
          <t>BOXHOLM</t>
        </is>
      </c>
      <c r="I95" t="n">
        <v>0.8</v>
      </c>
      <c r="J95" t="n">
        <v>0</v>
      </c>
      <c r="K95" t="n">
        <v>0</v>
      </c>
      <c r="L95" t="n">
        <v>0</v>
      </c>
      <c r="M95" t="n">
        <v>0</v>
      </c>
      <c r="N95" t="n">
        <v>0</v>
      </c>
      <c r="O95" t="n">
        <v>0</v>
      </c>
      <c r="P95" t="n">
        <v>0</v>
      </c>
      <c r="Q95" t="n">
        <v>0</v>
      </c>
      <c r="R95" t="n">
        <v>0</v>
      </c>
      <c r="S95" t="n">
        <v>0</v>
      </c>
      <c r="T95" t="n">
        <v>0</v>
      </c>
      <c r="U95" s="2" t="inlineStr"/>
    </row>
    <row r="96" ht="15" customHeight="1">
      <c r="A96" t="inlineStr">
        <is>
          <t>A 10152-2024</t>
        </is>
      </c>
      <c r="B96" t="inlineStr">
        <is>
          <t>avverkningsanmälan</t>
        </is>
      </c>
      <c r="C96" t="inlineStr">
        <is>
          <t>Föryngringsavverkning</t>
        </is>
      </c>
      <c r="D96" s="1" t="n">
        <v>45364</v>
      </c>
      <c r="E96" s="1" t="n">
        <v>46218</v>
      </c>
      <c r="F96" t="inlineStr">
        <is>
          <t>ÖSTERGÖTLANDS LÄN</t>
        </is>
      </c>
      <c r="G96" t="inlineStr">
        <is>
          <t>BOXHOLM</t>
        </is>
      </c>
      <c r="I96" t="n">
        <v>0.7</v>
      </c>
      <c r="J96" t="n">
        <v>0</v>
      </c>
      <c r="K96" t="n">
        <v>0</v>
      </c>
      <c r="L96" t="n">
        <v>0</v>
      </c>
      <c r="M96" t="n">
        <v>0</v>
      </c>
      <c r="N96" t="n">
        <v>0</v>
      </c>
      <c r="O96" t="n">
        <v>0</v>
      </c>
      <c r="P96" t="n">
        <v>0</v>
      </c>
      <c r="Q96" t="n">
        <v>0</v>
      </c>
      <c r="R96" t="n">
        <v>0</v>
      </c>
      <c r="S96" t="n">
        <v>0</v>
      </c>
      <c r="T96" t="n">
        <v>0</v>
      </c>
      <c r="U96" s="2" t="inlineStr"/>
    </row>
    <row r="97" ht="15" customHeight="1">
      <c r="A97" t="inlineStr">
        <is>
          <t>A 74111-2021</t>
        </is>
      </c>
      <c r="B97" t="inlineStr">
        <is>
          <t>avverkningsanmälan</t>
        </is>
      </c>
      <c r="C97" t="inlineStr">
        <is>
          <t>Föryngringsavverkning</t>
        </is>
      </c>
      <c r="D97" s="1" t="n">
        <v>44557</v>
      </c>
      <c r="E97" s="1" t="n">
        <v>46218</v>
      </c>
      <c r="F97" t="inlineStr">
        <is>
          <t>ÖSTERGÖTLANDS LÄN</t>
        </is>
      </c>
      <c r="G97" t="inlineStr">
        <is>
          <t>BOXHOLM</t>
        </is>
      </c>
      <c r="I97" t="n">
        <v>5.3</v>
      </c>
      <c r="J97" t="n">
        <v>0</v>
      </c>
      <c r="K97" t="n">
        <v>0</v>
      </c>
      <c r="L97" t="n">
        <v>0</v>
      </c>
      <c r="M97" t="n">
        <v>0</v>
      </c>
      <c r="N97" t="n">
        <v>0</v>
      </c>
      <c r="O97" t="n">
        <v>0</v>
      </c>
      <c r="P97" t="n">
        <v>0</v>
      </c>
      <c r="Q97" t="n">
        <v>0</v>
      </c>
      <c r="R97" t="n">
        <v>0</v>
      </c>
      <c r="S97" t="n">
        <v>0</v>
      </c>
      <c r="T97" t="n">
        <v>0</v>
      </c>
      <c r="U97" s="2" t="inlineStr"/>
    </row>
    <row r="98" ht="15" customHeight="1">
      <c r="A98" t="inlineStr">
        <is>
          <t>A 40594-2025</t>
        </is>
      </c>
      <c r="B98" t="inlineStr">
        <is>
          <t>avverkningsanmälan</t>
        </is>
      </c>
      <c r="C98" t="inlineStr">
        <is>
          <t>Föryngringsavverkning</t>
        </is>
      </c>
      <c r="D98" s="1" t="n">
        <v>45896</v>
      </c>
      <c r="E98" s="1" t="n">
        <v>46218</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s="2" t="inlineStr"/>
    </row>
    <row r="99" ht="15" customHeight="1">
      <c r="A99" t="inlineStr">
        <is>
          <t>A 40583-2025</t>
        </is>
      </c>
      <c r="B99" t="inlineStr">
        <is>
          <t>avverkningsanmälan</t>
        </is>
      </c>
      <c r="C99" t="inlineStr">
        <is>
          <t>Föryngringsavverkning</t>
        </is>
      </c>
      <c r="D99" s="1" t="n">
        <v>45896</v>
      </c>
      <c r="E99" s="1" t="n">
        <v>46218</v>
      </c>
      <c r="F99" t="inlineStr">
        <is>
          <t>ÖSTERGÖTLANDS LÄN</t>
        </is>
      </c>
      <c r="G99" t="inlineStr">
        <is>
          <t>BOXHOLM</t>
        </is>
      </c>
      <c r="I99" t="n">
        <v>5</v>
      </c>
      <c r="J99" t="n">
        <v>0</v>
      </c>
      <c r="K99" t="n">
        <v>0</v>
      </c>
      <c r="L99" t="n">
        <v>0</v>
      </c>
      <c r="M99" t="n">
        <v>0</v>
      </c>
      <c r="N99" t="n">
        <v>0</v>
      </c>
      <c r="O99" t="n">
        <v>0</v>
      </c>
      <c r="P99" t="n">
        <v>0</v>
      </c>
      <c r="Q99" t="n">
        <v>0</v>
      </c>
      <c r="R99" t="n">
        <v>0</v>
      </c>
      <c r="S99" t="n">
        <v>0</v>
      </c>
      <c r="T99" t="n">
        <v>0</v>
      </c>
      <c r="U99" s="2" t="inlineStr"/>
    </row>
    <row r="100" ht="15" customHeight="1">
      <c r="A100" t="inlineStr">
        <is>
          <t>A 14946-2022</t>
        </is>
      </c>
      <c r="B100" t="inlineStr">
        <is>
          <t>avverkningsanmälan</t>
        </is>
      </c>
      <c r="C100" t="inlineStr">
        <is>
          <t>Föryngringsavverkning</t>
        </is>
      </c>
      <c r="D100" s="1" t="n">
        <v>44657</v>
      </c>
      <c r="E100" s="1" t="n">
        <v>46218</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32089-2024</t>
        </is>
      </c>
      <c r="B101" t="inlineStr">
        <is>
          <t>avverkningsanmälan</t>
        </is>
      </c>
      <c r="C101" t="inlineStr">
        <is>
          <t>Föryngringsavverkning</t>
        </is>
      </c>
      <c r="D101" s="1" t="n">
        <v>45511</v>
      </c>
      <c r="E101" s="1" t="n">
        <v>46218</v>
      </c>
      <c r="F101" t="inlineStr">
        <is>
          <t>ÖSTERGÖTLANDS LÄN</t>
        </is>
      </c>
      <c r="G101" t="inlineStr">
        <is>
          <t>BOXHOLM</t>
        </is>
      </c>
      <c r="I101" t="n">
        <v>4.3</v>
      </c>
      <c r="J101" t="n">
        <v>0</v>
      </c>
      <c r="K101" t="n">
        <v>0</v>
      </c>
      <c r="L101" t="n">
        <v>0</v>
      </c>
      <c r="M101" t="n">
        <v>0</v>
      </c>
      <c r="N101" t="n">
        <v>0</v>
      </c>
      <c r="O101" t="n">
        <v>0</v>
      </c>
      <c r="P101" t="n">
        <v>0</v>
      </c>
      <c r="Q101" t="n">
        <v>0</v>
      </c>
      <c r="R101" t="n">
        <v>0</v>
      </c>
      <c r="S101" t="n">
        <v>0</v>
      </c>
      <c r="T101" t="n">
        <v>0</v>
      </c>
      <c r="U101" s="2" t="inlineStr"/>
    </row>
    <row r="102" ht="15" customHeight="1">
      <c r="A102" t="inlineStr">
        <is>
          <t>A 35432-2023</t>
        </is>
      </c>
      <c r="B102" t="inlineStr">
        <is>
          <t>avverkningsanmälan</t>
        </is>
      </c>
      <c r="C102" t="inlineStr">
        <is>
          <t>Föryngringsavverkning</t>
        </is>
      </c>
      <c r="D102" s="1" t="n">
        <v>45146</v>
      </c>
      <c r="E102" s="1" t="n">
        <v>46218</v>
      </c>
      <c r="F102" t="inlineStr">
        <is>
          <t>ÖSTERGÖTLANDS LÄN</t>
        </is>
      </c>
      <c r="G102" t="inlineStr">
        <is>
          <t>BOXHOLM</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1666-2025</t>
        </is>
      </c>
      <c r="B103" t="inlineStr">
        <is>
          <t>avverkningsanmälan</t>
        </is>
      </c>
      <c r="C103" t="inlineStr">
        <is>
          <t>Föryngringsavverkning</t>
        </is>
      </c>
      <c r="D103" s="1" t="n">
        <v>45670</v>
      </c>
      <c r="E103" s="1" t="n">
        <v>46218</v>
      </c>
      <c r="F103" t="inlineStr">
        <is>
          <t>ÖSTERGÖTLANDS LÄN</t>
        </is>
      </c>
      <c r="G103" t="inlineStr">
        <is>
          <t>BOXHOLM</t>
        </is>
      </c>
      <c r="I103" t="n">
        <v>6.8</v>
      </c>
      <c r="J103" t="n">
        <v>0</v>
      </c>
      <c r="K103" t="n">
        <v>0</v>
      </c>
      <c r="L103" t="n">
        <v>0</v>
      </c>
      <c r="M103" t="n">
        <v>0</v>
      </c>
      <c r="N103" t="n">
        <v>0</v>
      </c>
      <c r="O103" t="n">
        <v>0</v>
      </c>
      <c r="P103" t="n">
        <v>0</v>
      </c>
      <c r="Q103" t="n">
        <v>0</v>
      </c>
      <c r="R103" t="n">
        <v>0</v>
      </c>
      <c r="S103" t="n">
        <v>0</v>
      </c>
      <c r="T103" t="n">
        <v>0</v>
      </c>
      <c r="U103" s="2" t="inlineStr"/>
    </row>
    <row r="104" ht="15" customHeight="1">
      <c r="A104" t="inlineStr">
        <is>
          <t>A 21635-2023</t>
        </is>
      </c>
      <c r="B104" t="inlineStr">
        <is>
          <t>avverkningsanmälan</t>
        </is>
      </c>
      <c r="C104" t="inlineStr">
        <is>
          <t>Föryngringsavverkning</t>
        </is>
      </c>
      <c r="D104" s="1" t="n">
        <v>45062</v>
      </c>
      <c r="E104" s="1" t="n">
        <v>46218</v>
      </c>
      <c r="F104" t="inlineStr">
        <is>
          <t>ÖSTERGÖTLANDS LÄN</t>
        </is>
      </c>
      <c r="G104" t="inlineStr">
        <is>
          <t>BOXHOLM</t>
        </is>
      </c>
      <c r="I104" t="n">
        <v>6</v>
      </c>
      <c r="J104" t="n">
        <v>0</v>
      </c>
      <c r="K104" t="n">
        <v>0</v>
      </c>
      <c r="L104" t="n">
        <v>0</v>
      </c>
      <c r="M104" t="n">
        <v>0</v>
      </c>
      <c r="N104" t="n">
        <v>0</v>
      </c>
      <c r="O104" t="n">
        <v>0</v>
      </c>
      <c r="P104" t="n">
        <v>0</v>
      </c>
      <c r="Q104" t="n">
        <v>0</v>
      </c>
      <c r="R104" t="n">
        <v>0</v>
      </c>
      <c r="S104" t="n">
        <v>0</v>
      </c>
      <c r="T104" t="n">
        <v>0</v>
      </c>
      <c r="U104" s="2" t="inlineStr"/>
    </row>
    <row r="105" ht="15" customHeight="1">
      <c r="A105" t="inlineStr">
        <is>
          <t>A 59125-2022</t>
        </is>
      </c>
      <c r="B105" t="inlineStr">
        <is>
          <t>avverkningsanmälan</t>
        </is>
      </c>
      <c r="C105" t="inlineStr">
        <is>
          <t>Föryngringsavverkning</t>
        </is>
      </c>
      <c r="D105" s="1" t="n">
        <v>44904</v>
      </c>
      <c r="E105" s="1" t="n">
        <v>46218</v>
      </c>
      <c r="F105" t="inlineStr">
        <is>
          <t>ÖSTERGÖTLANDS LÄN</t>
        </is>
      </c>
      <c r="G105" t="inlineStr">
        <is>
          <t>BOXHOLM</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41741-2025</t>
        </is>
      </c>
      <c r="B106" t="inlineStr">
        <is>
          <t>avverkningsanmälan</t>
        </is>
      </c>
      <c r="C106" t="inlineStr">
        <is>
          <t>Avverkning för att bevara och utveckla /försöksver</t>
        </is>
      </c>
      <c r="D106" s="1" t="n">
        <v>45902</v>
      </c>
      <c r="E106" s="1" t="n">
        <v>46218</v>
      </c>
      <c r="F106" t="inlineStr">
        <is>
          <t>ÖSTERGÖTLANDS LÄN</t>
        </is>
      </c>
      <c r="G106" t="inlineStr">
        <is>
          <t>BOXHOLM</t>
        </is>
      </c>
      <c r="H106" t="inlineStr">
        <is>
          <t>Övriga Aktiebolag</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53356-2024</t>
        </is>
      </c>
      <c r="B107" t="inlineStr">
        <is>
          <t>avverkningsanmälan</t>
        </is>
      </c>
      <c r="C107" t="inlineStr">
        <is>
          <t>Föryngringsavverkning</t>
        </is>
      </c>
      <c r="D107" s="1" t="n">
        <v>45614</v>
      </c>
      <c r="E107" s="1" t="n">
        <v>46218</v>
      </c>
      <c r="F107" t="inlineStr">
        <is>
          <t>ÖSTERGÖTLANDS LÄN</t>
        </is>
      </c>
      <c r="G107" t="inlineStr">
        <is>
          <t>BOXHOLM</t>
        </is>
      </c>
      <c r="H107" t="inlineStr">
        <is>
          <t>Övriga Aktiebolag</t>
        </is>
      </c>
      <c r="I107" t="n">
        <v>2.1</v>
      </c>
      <c r="J107" t="n">
        <v>0</v>
      </c>
      <c r="K107" t="n">
        <v>0</v>
      </c>
      <c r="L107" t="n">
        <v>0</v>
      </c>
      <c r="M107" t="n">
        <v>0</v>
      </c>
      <c r="N107" t="n">
        <v>0</v>
      </c>
      <c r="O107" t="n">
        <v>0</v>
      </c>
      <c r="P107" t="n">
        <v>0</v>
      </c>
      <c r="Q107" t="n">
        <v>0</v>
      </c>
      <c r="R107" t="n">
        <v>0</v>
      </c>
      <c r="S107" t="n">
        <v>0</v>
      </c>
      <c r="T107" t="n">
        <v>0</v>
      </c>
      <c r="U107" s="2" t="inlineStr"/>
    </row>
    <row r="108" ht="15" customHeight="1">
      <c r="A108" t="inlineStr">
        <is>
          <t>A 72283-2021</t>
        </is>
      </c>
      <c r="B108" t="inlineStr">
        <is>
          <t>avverkningsanmälan</t>
        </is>
      </c>
      <c r="C108" t="inlineStr">
        <is>
          <t>Föryngringsavverkning</t>
        </is>
      </c>
      <c r="D108" s="1" t="n">
        <v>44545</v>
      </c>
      <c r="E108" s="1" t="n">
        <v>46218</v>
      </c>
      <c r="F108" t="inlineStr">
        <is>
          <t>ÖSTERGÖTLANDS LÄN</t>
        </is>
      </c>
      <c r="G108" t="inlineStr">
        <is>
          <t>BOXHOLM</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49990-2021</t>
        </is>
      </c>
      <c r="B109" t="inlineStr">
        <is>
          <t>avverkningsanmälan</t>
        </is>
      </c>
      <c r="C109" t="inlineStr">
        <is>
          <t>Föryngringsavverkning</t>
        </is>
      </c>
      <c r="D109" s="1" t="n">
        <v>44456</v>
      </c>
      <c r="E109" s="1" t="n">
        <v>46218</v>
      </c>
      <c r="F109" t="inlineStr">
        <is>
          <t>ÖSTERGÖTLANDS LÄN</t>
        </is>
      </c>
      <c r="G109" t="inlineStr">
        <is>
          <t>BOXHOLM</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48322-2022</t>
        </is>
      </c>
      <c r="B110" t="inlineStr">
        <is>
          <t>avverkningsanmälan</t>
        </is>
      </c>
      <c r="C110" t="inlineStr">
        <is>
          <t>Föryngringsavverkning</t>
        </is>
      </c>
      <c r="D110" s="1" t="n">
        <v>44858</v>
      </c>
      <c r="E110" s="1" t="n">
        <v>46218</v>
      </c>
      <c r="F110" t="inlineStr">
        <is>
          <t>ÖSTERGÖTLANDS LÄN</t>
        </is>
      </c>
      <c r="G110" t="inlineStr">
        <is>
          <t>BOXHOLM</t>
        </is>
      </c>
      <c r="H110" t="inlineStr">
        <is>
          <t>Allmännings- och besparingsskogar</t>
        </is>
      </c>
      <c r="I110" t="n">
        <v>6</v>
      </c>
      <c r="J110" t="n">
        <v>0</v>
      </c>
      <c r="K110" t="n">
        <v>0</v>
      </c>
      <c r="L110" t="n">
        <v>0</v>
      </c>
      <c r="M110" t="n">
        <v>0</v>
      </c>
      <c r="N110" t="n">
        <v>0</v>
      </c>
      <c r="O110" t="n">
        <v>0</v>
      </c>
      <c r="P110" t="n">
        <v>0</v>
      </c>
      <c r="Q110" t="n">
        <v>0</v>
      </c>
      <c r="R110" t="n">
        <v>0</v>
      </c>
      <c r="S110" t="n">
        <v>0</v>
      </c>
      <c r="T110" t="n">
        <v>0</v>
      </c>
      <c r="U110" s="2" t="inlineStr"/>
    </row>
    <row r="111" ht="15" customHeight="1">
      <c r="A111" t="inlineStr">
        <is>
          <t>A 47978-2023</t>
        </is>
      </c>
      <c r="B111" t="inlineStr">
        <is>
          <t>avverkningsanmälan</t>
        </is>
      </c>
      <c r="C111" t="inlineStr">
        <is>
          <t>Föryngringsavverkning</t>
        </is>
      </c>
      <c r="D111" s="1" t="n">
        <v>45204</v>
      </c>
      <c r="E111" s="1" t="n">
        <v>46218</v>
      </c>
      <c r="F111" t="inlineStr">
        <is>
          <t>ÖSTERGÖTLANDS LÄN</t>
        </is>
      </c>
      <c r="G111" t="inlineStr">
        <is>
          <t>BOXHOLM</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43599-2025</t>
        </is>
      </c>
      <c r="B112" t="inlineStr">
        <is>
          <t>avverkningsanmälan</t>
        </is>
      </c>
      <c r="C112" t="inlineStr">
        <is>
          <t>Föryngringsavverkning</t>
        </is>
      </c>
      <c r="D112" s="1" t="n">
        <v>45911</v>
      </c>
      <c r="E112" s="1" t="n">
        <v>46218</v>
      </c>
      <c r="F112" t="inlineStr">
        <is>
          <t>ÖSTERGÖTLANDS LÄN</t>
        </is>
      </c>
      <c r="G112" t="inlineStr">
        <is>
          <t>BOXHOLM</t>
        </is>
      </c>
      <c r="I112" t="n">
        <v>2.5</v>
      </c>
      <c r="J112" t="n">
        <v>0</v>
      </c>
      <c r="K112" t="n">
        <v>0</v>
      </c>
      <c r="L112" t="n">
        <v>0</v>
      </c>
      <c r="M112" t="n">
        <v>0</v>
      </c>
      <c r="N112" t="n">
        <v>0</v>
      </c>
      <c r="O112" t="n">
        <v>0</v>
      </c>
      <c r="P112" t="n">
        <v>0</v>
      </c>
      <c r="Q112" t="n">
        <v>0</v>
      </c>
      <c r="R112" t="n">
        <v>0</v>
      </c>
      <c r="S112" t="n">
        <v>0</v>
      </c>
      <c r="T112" t="n">
        <v>0</v>
      </c>
      <c r="U112" s="2" t="inlineStr"/>
    </row>
    <row r="113" ht="15" customHeight="1">
      <c r="A113" t="inlineStr">
        <is>
          <t>A 44706-2025</t>
        </is>
      </c>
      <c r="B113" t="inlineStr">
        <is>
          <t>avverkningsanmälan</t>
        </is>
      </c>
      <c r="C113" t="inlineStr">
        <is>
          <t>Föryngringsavverkning</t>
        </is>
      </c>
      <c r="D113" s="1" t="n">
        <v>45917</v>
      </c>
      <c r="E113" s="1" t="n">
        <v>46218</v>
      </c>
      <c r="F113" t="inlineStr">
        <is>
          <t>ÖSTERGÖTLANDS LÄN</t>
        </is>
      </c>
      <c r="G113" t="inlineStr">
        <is>
          <t>BOXHOLM</t>
        </is>
      </c>
      <c r="H113" t="inlineStr">
        <is>
          <t>Övriga Aktiebolag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44696-2025</t>
        </is>
      </c>
      <c r="B114" t="inlineStr">
        <is>
          <t>avverkningsanmälan</t>
        </is>
      </c>
      <c r="C114" t="inlineStr">
        <is>
          <t>Föryngringsavverkning</t>
        </is>
      </c>
      <c r="D114" s="1" t="n">
        <v>45917</v>
      </c>
      <c r="E114" s="1" t="n">
        <v>46218</v>
      </c>
      <c r="F114" t="inlineStr">
        <is>
          <t>ÖSTERGÖTLANDS LÄN</t>
        </is>
      </c>
      <c r="G114" t="inlineStr">
        <is>
          <t>BOXHOLM</t>
        </is>
      </c>
      <c r="H114" t="inlineStr">
        <is>
          <t>Övriga Aktiebolag</t>
        </is>
      </c>
      <c r="I114" t="n">
        <v>1.8</v>
      </c>
      <c r="J114" t="n">
        <v>0</v>
      </c>
      <c r="K114" t="n">
        <v>0</v>
      </c>
      <c r="L114" t="n">
        <v>0</v>
      </c>
      <c r="M114" t="n">
        <v>0</v>
      </c>
      <c r="N114" t="n">
        <v>0</v>
      </c>
      <c r="O114" t="n">
        <v>0</v>
      </c>
      <c r="P114" t="n">
        <v>0</v>
      </c>
      <c r="Q114" t="n">
        <v>0</v>
      </c>
      <c r="R114" t="n">
        <v>0</v>
      </c>
      <c r="S114" t="n">
        <v>0</v>
      </c>
      <c r="T114" t="n">
        <v>0</v>
      </c>
      <c r="U114" s="2" t="inlineStr"/>
    </row>
    <row r="115" ht="15" customHeight="1">
      <c r="A115" t="inlineStr">
        <is>
          <t>A 44758-2025</t>
        </is>
      </c>
      <c r="B115" t="inlineStr">
        <is>
          <t>avverkningsanmälan</t>
        </is>
      </c>
      <c r="C115" t="inlineStr">
        <is>
          <t>Föryngringsavverkning</t>
        </is>
      </c>
      <c r="D115" s="1" t="n">
        <v>45917</v>
      </c>
      <c r="E115" s="1" t="n">
        <v>46218</v>
      </c>
      <c r="F115" t="inlineStr">
        <is>
          <t>ÖSTERGÖTLANDS LÄN</t>
        </is>
      </c>
      <c r="G115" t="inlineStr">
        <is>
          <t>BOXHOLM</t>
        </is>
      </c>
      <c r="I115" t="n">
        <v>5.6</v>
      </c>
      <c r="J115" t="n">
        <v>0</v>
      </c>
      <c r="K115" t="n">
        <v>0</v>
      </c>
      <c r="L115" t="n">
        <v>0</v>
      </c>
      <c r="M115" t="n">
        <v>0</v>
      </c>
      <c r="N115" t="n">
        <v>0</v>
      </c>
      <c r="O115" t="n">
        <v>0</v>
      </c>
      <c r="P115" t="n">
        <v>0</v>
      </c>
      <c r="Q115" t="n">
        <v>0</v>
      </c>
      <c r="R115" t="n">
        <v>0</v>
      </c>
      <c r="S115" t="n">
        <v>0</v>
      </c>
      <c r="T115" t="n">
        <v>0</v>
      </c>
      <c r="U115" s="2" t="inlineStr"/>
    </row>
    <row r="116" ht="15" customHeight="1">
      <c r="A116" t="inlineStr">
        <is>
          <t>A 44658-2025</t>
        </is>
      </c>
      <c r="B116" t="inlineStr">
        <is>
          <t>avverkningsanmälan</t>
        </is>
      </c>
      <c r="C116" t="inlineStr">
        <is>
          <t>Avverkning för att bevara och utveckla /försöksver</t>
        </is>
      </c>
      <c r="D116" s="1" t="n">
        <v>45917</v>
      </c>
      <c r="E116" s="1" t="n">
        <v>46218</v>
      </c>
      <c r="F116" t="inlineStr">
        <is>
          <t>ÖSTERGÖTLANDS LÄN</t>
        </is>
      </c>
      <c r="G116" t="inlineStr">
        <is>
          <t>BOXHOLM</t>
        </is>
      </c>
      <c r="H116" t="inlineStr">
        <is>
          <t>Övriga Aktiebolag</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44703-2025</t>
        </is>
      </c>
      <c r="B117" t="inlineStr">
        <is>
          <t>avverkningsanmälan</t>
        </is>
      </c>
      <c r="C117" t="inlineStr">
        <is>
          <t>Föryngringsavverkning</t>
        </is>
      </c>
      <c r="D117" s="1" t="n">
        <v>45917</v>
      </c>
      <c r="E117" s="1" t="n">
        <v>46218</v>
      </c>
      <c r="F117" t="inlineStr">
        <is>
          <t>ÖSTERGÖTLANDS LÄN</t>
        </is>
      </c>
      <c r="G117" t="inlineStr">
        <is>
          <t>BOXHOLM</t>
        </is>
      </c>
      <c r="H117" t="inlineStr">
        <is>
          <t>Övriga Aktiebolag</t>
        </is>
      </c>
      <c r="I117" t="n">
        <v>3.6</v>
      </c>
      <c r="J117" t="n">
        <v>0</v>
      </c>
      <c r="K117" t="n">
        <v>0</v>
      </c>
      <c r="L117" t="n">
        <v>0</v>
      </c>
      <c r="M117" t="n">
        <v>0</v>
      </c>
      <c r="N117" t="n">
        <v>0</v>
      </c>
      <c r="O117" t="n">
        <v>0</v>
      </c>
      <c r="P117" t="n">
        <v>0</v>
      </c>
      <c r="Q117" t="n">
        <v>0</v>
      </c>
      <c r="R117" t="n">
        <v>0</v>
      </c>
      <c r="S117" t="n">
        <v>0</v>
      </c>
      <c r="T117" t="n">
        <v>0</v>
      </c>
      <c r="U117" s="2" t="inlineStr"/>
    </row>
    <row r="118" ht="15" customHeight="1">
      <c r="A118" t="inlineStr">
        <is>
          <t>A 60210-2023</t>
        </is>
      </c>
      <c r="B118" t="inlineStr">
        <is>
          <t>avverkningsanmälan</t>
        </is>
      </c>
      <c r="C118" t="inlineStr">
        <is>
          <t>Föryngringsavverkning</t>
        </is>
      </c>
      <c r="D118" s="1" t="n">
        <v>45258</v>
      </c>
      <c r="E118" s="1" t="n">
        <v>46218</v>
      </c>
      <c r="F118" t="inlineStr">
        <is>
          <t>ÖSTERGÖTLANDS LÄN</t>
        </is>
      </c>
      <c r="G118" t="inlineStr">
        <is>
          <t>BOXHOLM</t>
        </is>
      </c>
      <c r="H118" t="inlineStr">
        <is>
          <t>Övriga Aktiebolag</t>
        </is>
      </c>
      <c r="I118" t="n">
        <v>1.7</v>
      </c>
      <c r="J118" t="n">
        <v>0</v>
      </c>
      <c r="K118" t="n">
        <v>0</v>
      </c>
      <c r="L118" t="n">
        <v>0</v>
      </c>
      <c r="M118" t="n">
        <v>0</v>
      </c>
      <c r="N118" t="n">
        <v>0</v>
      </c>
      <c r="O118" t="n">
        <v>0</v>
      </c>
      <c r="P118" t="n">
        <v>0</v>
      </c>
      <c r="Q118" t="n">
        <v>0</v>
      </c>
      <c r="R118" t="n">
        <v>0</v>
      </c>
      <c r="S118" t="n">
        <v>0</v>
      </c>
      <c r="T118" t="n">
        <v>0</v>
      </c>
      <c r="U118" s="2" t="inlineStr"/>
    </row>
    <row r="119" ht="15" customHeight="1">
      <c r="A119" t="inlineStr">
        <is>
          <t>A 60867-2022</t>
        </is>
      </c>
      <c r="B119" t="inlineStr">
        <is>
          <t>avverkningsanmälan</t>
        </is>
      </c>
      <c r="C119" t="inlineStr">
        <is>
          <t>Avverkning för annat ändamål</t>
        </is>
      </c>
      <c r="D119" s="1" t="n">
        <v>44914</v>
      </c>
      <c r="E119" s="1" t="n">
        <v>46218</v>
      </c>
      <c r="F119" t="inlineStr">
        <is>
          <t>ÖSTERGÖTLANDS LÄN</t>
        </is>
      </c>
      <c r="G119" t="inlineStr">
        <is>
          <t>BOXHOLM</t>
        </is>
      </c>
      <c r="H119" t="inlineStr">
        <is>
          <t>Övriga Aktiebolag</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15516-2025</t>
        </is>
      </c>
      <c r="B120" t="inlineStr">
        <is>
          <t>avverkningsanmälan</t>
        </is>
      </c>
      <c r="C120" t="inlineStr">
        <is>
          <t>Föryngringsavverkning</t>
        </is>
      </c>
      <c r="D120" s="1" t="n">
        <v>45747</v>
      </c>
      <c r="E120" s="1" t="n">
        <v>46218</v>
      </c>
      <c r="F120" t="inlineStr">
        <is>
          <t>ÖSTERGÖTLANDS LÄN</t>
        </is>
      </c>
      <c r="G120" t="inlineStr">
        <is>
          <t>BOXHOLM</t>
        </is>
      </c>
      <c r="H120" t="inlineStr">
        <is>
          <t>Övriga Aktiebolag</t>
        </is>
      </c>
      <c r="I120" t="n">
        <v>2.5</v>
      </c>
      <c r="J120" t="n">
        <v>0</v>
      </c>
      <c r="K120" t="n">
        <v>0</v>
      </c>
      <c r="L120" t="n">
        <v>0</v>
      </c>
      <c r="M120" t="n">
        <v>0</v>
      </c>
      <c r="N120" t="n">
        <v>0</v>
      </c>
      <c r="O120" t="n">
        <v>0</v>
      </c>
      <c r="P120" t="n">
        <v>0</v>
      </c>
      <c r="Q120" t="n">
        <v>0</v>
      </c>
      <c r="R120" t="n">
        <v>0</v>
      </c>
      <c r="S120" t="n">
        <v>0</v>
      </c>
      <c r="T120" t="n">
        <v>0</v>
      </c>
      <c r="U120" s="2" t="inlineStr"/>
    </row>
    <row r="121" ht="15" customHeight="1">
      <c r="A121" t="inlineStr">
        <is>
          <t>A 17872-2025</t>
        </is>
      </c>
      <c r="B121" t="inlineStr">
        <is>
          <t>avverkningsanmälan</t>
        </is>
      </c>
      <c r="C121" t="inlineStr">
        <is>
          <t>Avverkning för att bevara och utveckla /försöksver</t>
        </is>
      </c>
      <c r="D121" s="1" t="n">
        <v>45758</v>
      </c>
      <c r="E121" s="1" t="n">
        <v>46218</v>
      </c>
      <c r="F121" t="inlineStr">
        <is>
          <t>ÖSTERGÖTLANDS LÄN</t>
        </is>
      </c>
      <c r="G121" t="inlineStr">
        <is>
          <t>BOXHOLM</t>
        </is>
      </c>
      <c r="H121" t="inlineStr">
        <is>
          <t>Övriga Aktiebolag</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45266-2025</t>
        </is>
      </c>
      <c r="B122" t="inlineStr">
        <is>
          <t>avverkningsanmälan</t>
        </is>
      </c>
      <c r="C122" t="inlineStr">
        <is>
          <t>Föryngringsavverkning</t>
        </is>
      </c>
      <c r="D122" s="1" t="n">
        <v>45919</v>
      </c>
      <c r="E122" s="1" t="n">
        <v>46218</v>
      </c>
      <c r="F122" t="inlineStr">
        <is>
          <t>ÖSTERGÖTLANDS LÄN</t>
        </is>
      </c>
      <c r="G122" t="inlineStr">
        <is>
          <t>BOXHOLM</t>
        </is>
      </c>
      <c r="I122" t="n">
        <v>3</v>
      </c>
      <c r="J122" t="n">
        <v>0</v>
      </c>
      <c r="K122" t="n">
        <v>0</v>
      </c>
      <c r="L122" t="n">
        <v>0</v>
      </c>
      <c r="M122" t="n">
        <v>0</v>
      </c>
      <c r="N122" t="n">
        <v>0</v>
      </c>
      <c r="O122" t="n">
        <v>0</v>
      </c>
      <c r="P122" t="n">
        <v>0</v>
      </c>
      <c r="Q122" t="n">
        <v>0</v>
      </c>
      <c r="R122" t="n">
        <v>0</v>
      </c>
      <c r="S122" t="n">
        <v>0</v>
      </c>
      <c r="T122" t="n">
        <v>0</v>
      </c>
      <c r="U122" s="2" t="inlineStr"/>
    </row>
    <row r="123" ht="15" customHeight="1">
      <c r="A123" t="inlineStr">
        <is>
          <t>A 43824-2023</t>
        </is>
      </c>
      <c r="B123" t="inlineStr">
        <is>
          <t>avverkningsanmälan</t>
        </is>
      </c>
      <c r="C123" t="inlineStr">
        <is>
          <t>Föryngringsavverkning</t>
        </is>
      </c>
      <c r="D123" s="1" t="n">
        <v>45187</v>
      </c>
      <c r="E123" s="1" t="n">
        <v>46218</v>
      </c>
      <c r="F123" t="inlineStr">
        <is>
          <t>ÖSTERGÖTLANDS LÄN</t>
        </is>
      </c>
      <c r="G123" t="inlineStr">
        <is>
          <t>BOXHOLM</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44803-2025</t>
        </is>
      </c>
      <c r="B124" t="inlineStr">
        <is>
          <t>avverkningsanmälan</t>
        </is>
      </c>
      <c r="C124" t="inlineStr">
        <is>
          <t>Föryngringsavverkning</t>
        </is>
      </c>
      <c r="D124" s="1" t="n">
        <v>45918</v>
      </c>
      <c r="E124" s="1" t="n">
        <v>46218</v>
      </c>
      <c r="F124" t="inlineStr">
        <is>
          <t>ÖSTERGÖTLANDS LÄN</t>
        </is>
      </c>
      <c r="G124" t="inlineStr">
        <is>
          <t>BOXHOLM</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19356-2022</t>
        </is>
      </c>
      <c r="B125" t="inlineStr">
        <is>
          <t>avverkningsanmälan</t>
        </is>
      </c>
      <c r="C125" t="inlineStr">
        <is>
          <t>Föryngringsavverkning</t>
        </is>
      </c>
      <c r="D125" s="1" t="n">
        <v>44692</v>
      </c>
      <c r="E125" s="1" t="n">
        <v>46218</v>
      </c>
      <c r="F125" t="inlineStr">
        <is>
          <t>ÖSTERGÖTLANDS LÄN</t>
        </is>
      </c>
      <c r="G125" t="inlineStr">
        <is>
          <t>BOXHOLM</t>
        </is>
      </c>
      <c r="I125" t="n">
        <v>2.5</v>
      </c>
      <c r="J125" t="n">
        <v>0</v>
      </c>
      <c r="K125" t="n">
        <v>0</v>
      </c>
      <c r="L125" t="n">
        <v>0</v>
      </c>
      <c r="M125" t="n">
        <v>0</v>
      </c>
      <c r="N125" t="n">
        <v>0</v>
      </c>
      <c r="O125" t="n">
        <v>0</v>
      </c>
      <c r="P125" t="n">
        <v>0</v>
      </c>
      <c r="Q125" t="n">
        <v>0</v>
      </c>
      <c r="R125" t="n">
        <v>0</v>
      </c>
      <c r="S125" t="n">
        <v>0</v>
      </c>
      <c r="T125" t="n">
        <v>0</v>
      </c>
      <c r="U125" s="2" t="inlineStr"/>
    </row>
    <row r="126" ht="15" customHeight="1">
      <c r="A126" t="inlineStr">
        <is>
          <t>A 46200-2025</t>
        </is>
      </c>
      <c r="B126" t="inlineStr">
        <is>
          <t>avverkningsanmälan</t>
        </is>
      </c>
      <c r="C126" t="inlineStr">
        <is>
          <t>Föryngringsavverkning</t>
        </is>
      </c>
      <c r="D126" s="1" t="n">
        <v>45924</v>
      </c>
      <c r="E126" s="1" t="n">
        <v>46218</v>
      </c>
      <c r="F126" t="inlineStr">
        <is>
          <t>ÖSTERGÖTLANDS LÄN</t>
        </is>
      </c>
      <c r="G126" t="inlineStr">
        <is>
          <t>BOXHOLM</t>
        </is>
      </c>
      <c r="I126" t="n">
        <v>3.2</v>
      </c>
      <c r="J126" t="n">
        <v>0</v>
      </c>
      <c r="K126" t="n">
        <v>0</v>
      </c>
      <c r="L126" t="n">
        <v>0</v>
      </c>
      <c r="M126" t="n">
        <v>0</v>
      </c>
      <c r="N126" t="n">
        <v>0</v>
      </c>
      <c r="O126" t="n">
        <v>0</v>
      </c>
      <c r="P126" t="n">
        <v>0</v>
      </c>
      <c r="Q126" t="n">
        <v>0</v>
      </c>
      <c r="R126" t="n">
        <v>0</v>
      </c>
      <c r="S126" t="n">
        <v>0</v>
      </c>
      <c r="T126" t="n">
        <v>0</v>
      </c>
      <c r="U126" s="2" t="inlineStr"/>
    </row>
    <row r="127" ht="15" customHeight="1">
      <c r="A127" t="inlineStr">
        <is>
          <t>A 62192-2022</t>
        </is>
      </c>
      <c r="B127" t="inlineStr">
        <is>
          <t>avverkningsanmälan</t>
        </is>
      </c>
      <c r="C127" t="inlineStr">
        <is>
          <t>Föryngringsavverkning</t>
        </is>
      </c>
      <c r="D127" s="1" t="n">
        <v>44914</v>
      </c>
      <c r="E127" s="1" t="n">
        <v>46218</v>
      </c>
      <c r="F127" t="inlineStr">
        <is>
          <t>ÖSTERGÖTLANDS LÄN</t>
        </is>
      </c>
      <c r="G127" t="inlineStr">
        <is>
          <t>BOXHOLM</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46199-2025</t>
        </is>
      </c>
      <c r="B128" t="inlineStr">
        <is>
          <t>avverkningsanmälan</t>
        </is>
      </c>
      <c r="C128" t="inlineStr">
        <is>
          <t>Föryngringsavverkning</t>
        </is>
      </c>
      <c r="D128" s="1" t="n">
        <v>45924</v>
      </c>
      <c r="E128" s="1" t="n">
        <v>46218</v>
      </c>
      <c r="F128" t="inlineStr">
        <is>
          <t>ÖSTERGÖTLANDS LÄN</t>
        </is>
      </c>
      <c r="G128" t="inlineStr">
        <is>
          <t>BOXHOLM</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933-2024</t>
        </is>
      </c>
      <c r="B129" t="inlineStr">
        <is>
          <t>avverkningsanmälan</t>
        </is>
      </c>
      <c r="C129" t="inlineStr">
        <is>
          <t>Föryngringsavverkning</t>
        </is>
      </c>
      <c r="D129" s="1" t="n">
        <v>45301</v>
      </c>
      <c r="E129" s="1" t="n">
        <v>46218</v>
      </c>
      <c r="F129" t="inlineStr">
        <is>
          <t>ÖSTERGÖTLANDS LÄN</t>
        </is>
      </c>
      <c r="G129" t="inlineStr">
        <is>
          <t>BOXHOLM</t>
        </is>
      </c>
      <c r="I129" t="n">
        <v>1.9</v>
      </c>
      <c r="J129" t="n">
        <v>0</v>
      </c>
      <c r="K129" t="n">
        <v>0</v>
      </c>
      <c r="L129" t="n">
        <v>0</v>
      </c>
      <c r="M129" t="n">
        <v>0</v>
      </c>
      <c r="N129" t="n">
        <v>0</v>
      </c>
      <c r="O129" t="n">
        <v>0</v>
      </c>
      <c r="P129" t="n">
        <v>0</v>
      </c>
      <c r="Q129" t="n">
        <v>0</v>
      </c>
      <c r="R129" t="n">
        <v>0</v>
      </c>
      <c r="S129" t="n">
        <v>0</v>
      </c>
      <c r="T129" t="n">
        <v>0</v>
      </c>
      <c r="U129" s="2" t="inlineStr"/>
    </row>
    <row r="130" ht="15" customHeight="1">
      <c r="A130" t="inlineStr">
        <is>
          <t>A 960-2024</t>
        </is>
      </c>
      <c r="B130" t="inlineStr">
        <is>
          <t>avverkningsanmälan</t>
        </is>
      </c>
      <c r="C130" t="inlineStr">
        <is>
          <t>Föryngringsavverkning</t>
        </is>
      </c>
      <c r="D130" s="1" t="n">
        <v>45301</v>
      </c>
      <c r="E130" s="1" t="n">
        <v>46218</v>
      </c>
      <c r="F130" t="inlineStr">
        <is>
          <t>ÖSTERGÖTLANDS LÄN</t>
        </is>
      </c>
      <c r="G130" t="inlineStr">
        <is>
          <t>BOXHOLM</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46867-2025</t>
        </is>
      </c>
      <c r="B131" t="inlineStr">
        <is>
          <t>avverkningsanmälan</t>
        </is>
      </c>
      <c r="C131" t="inlineStr">
        <is>
          <t>Föryngringsavverkning</t>
        </is>
      </c>
      <c r="D131" s="1" t="n">
        <v>45929</v>
      </c>
      <c r="E131" s="1" t="n">
        <v>46218</v>
      </c>
      <c r="F131" t="inlineStr">
        <is>
          <t>ÖSTERGÖTLANDS LÄN</t>
        </is>
      </c>
      <c r="G131" t="inlineStr">
        <is>
          <t>BOXHOLM</t>
        </is>
      </c>
      <c r="I131" t="n">
        <v>2.4</v>
      </c>
      <c r="J131" t="n">
        <v>0</v>
      </c>
      <c r="K131" t="n">
        <v>0</v>
      </c>
      <c r="L131" t="n">
        <v>0</v>
      </c>
      <c r="M131" t="n">
        <v>0</v>
      </c>
      <c r="N131" t="n">
        <v>0</v>
      </c>
      <c r="O131" t="n">
        <v>0</v>
      </c>
      <c r="P131" t="n">
        <v>0</v>
      </c>
      <c r="Q131" t="n">
        <v>0</v>
      </c>
      <c r="R131" t="n">
        <v>0</v>
      </c>
      <c r="S131" t="n">
        <v>0</v>
      </c>
      <c r="T131" t="n">
        <v>0</v>
      </c>
      <c r="U131" s="2" t="inlineStr"/>
    </row>
    <row r="132" ht="15" customHeight="1">
      <c r="A132" t="inlineStr">
        <is>
          <t>A 60790-2023</t>
        </is>
      </c>
      <c r="B132" t="inlineStr">
        <is>
          <t>avverkningsanmälan</t>
        </is>
      </c>
      <c r="C132" t="inlineStr">
        <is>
          <t>Föryngringsavverkning</t>
        </is>
      </c>
      <c r="D132" s="1" t="n">
        <v>45259</v>
      </c>
      <c r="E132" s="1" t="n">
        <v>46218</v>
      </c>
      <c r="F132" t="inlineStr">
        <is>
          <t>ÖSTERGÖTLANDS LÄN</t>
        </is>
      </c>
      <c r="G132" t="inlineStr">
        <is>
          <t>BOXHOLM</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21634-2023</t>
        </is>
      </c>
      <c r="B133" t="inlineStr">
        <is>
          <t>avverkningsanmälan</t>
        </is>
      </c>
      <c r="C133" t="inlineStr">
        <is>
          <t>Föryngringsavverkning</t>
        </is>
      </c>
      <c r="D133" s="1" t="n">
        <v>45062</v>
      </c>
      <c r="E133" s="1" t="n">
        <v>46218</v>
      </c>
      <c r="F133" t="inlineStr">
        <is>
          <t>ÖSTERGÖTLANDS LÄN</t>
        </is>
      </c>
      <c r="G133" t="inlineStr">
        <is>
          <t>BOXHOLM</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954-2024</t>
        </is>
      </c>
      <c r="B134" t="inlineStr">
        <is>
          <t>avverkningsanmälan</t>
        </is>
      </c>
      <c r="C134" t="inlineStr">
        <is>
          <t>Föryngringsavverkning</t>
        </is>
      </c>
      <c r="D134" s="1" t="n">
        <v>45301</v>
      </c>
      <c r="E134" s="1" t="n">
        <v>46218</v>
      </c>
      <c r="F134" t="inlineStr">
        <is>
          <t>ÖSTERGÖTLANDS LÄN</t>
        </is>
      </c>
      <c r="G134" t="inlineStr">
        <is>
          <t>BOXHOLM</t>
        </is>
      </c>
      <c r="I134" t="n">
        <v>1.8</v>
      </c>
      <c r="J134" t="n">
        <v>0</v>
      </c>
      <c r="K134" t="n">
        <v>0</v>
      </c>
      <c r="L134" t="n">
        <v>0</v>
      </c>
      <c r="M134" t="n">
        <v>0</v>
      </c>
      <c r="N134" t="n">
        <v>0</v>
      </c>
      <c r="O134" t="n">
        <v>0</v>
      </c>
      <c r="P134" t="n">
        <v>0</v>
      </c>
      <c r="Q134" t="n">
        <v>0</v>
      </c>
      <c r="R134" t="n">
        <v>0</v>
      </c>
      <c r="S134" t="n">
        <v>0</v>
      </c>
      <c r="T134" t="n">
        <v>0</v>
      </c>
      <c r="U134" s="2" t="inlineStr"/>
    </row>
    <row r="135" ht="15" customHeight="1">
      <c r="A135" t="inlineStr">
        <is>
          <t>A 965-2024</t>
        </is>
      </c>
      <c r="B135" t="inlineStr">
        <is>
          <t>avverkningsanmälan</t>
        </is>
      </c>
      <c r="C135" t="inlineStr">
        <is>
          <t>Föryngringsavverkning</t>
        </is>
      </c>
      <c r="D135" s="1" t="n">
        <v>45301</v>
      </c>
      <c r="E135" s="1" t="n">
        <v>46218</v>
      </c>
      <c r="F135" t="inlineStr">
        <is>
          <t>ÖSTERGÖTLANDS LÄN</t>
        </is>
      </c>
      <c r="G135" t="inlineStr">
        <is>
          <t>BOXHOLM</t>
        </is>
      </c>
      <c r="I135" t="n">
        <v>4.1</v>
      </c>
      <c r="J135" t="n">
        <v>0</v>
      </c>
      <c r="K135" t="n">
        <v>0</v>
      </c>
      <c r="L135" t="n">
        <v>0</v>
      </c>
      <c r="M135" t="n">
        <v>0</v>
      </c>
      <c r="N135" t="n">
        <v>0</v>
      </c>
      <c r="O135" t="n">
        <v>0</v>
      </c>
      <c r="P135" t="n">
        <v>0</v>
      </c>
      <c r="Q135" t="n">
        <v>0</v>
      </c>
      <c r="R135" t="n">
        <v>0</v>
      </c>
      <c r="S135" t="n">
        <v>0</v>
      </c>
      <c r="T135" t="n">
        <v>0</v>
      </c>
      <c r="U135" s="2" t="inlineStr"/>
    </row>
    <row r="136" ht="15" customHeight="1">
      <c r="A136" t="inlineStr">
        <is>
          <t>A 36331-2022</t>
        </is>
      </c>
      <c r="B136" t="inlineStr">
        <is>
          <t>avverkningsanmälan</t>
        </is>
      </c>
      <c r="C136" t="inlineStr">
        <is>
          <t>Föryngringsavverkning</t>
        </is>
      </c>
      <c r="D136" s="1" t="n">
        <v>44803</v>
      </c>
      <c r="E136" s="1" t="n">
        <v>46218</v>
      </c>
      <c r="F136" t="inlineStr">
        <is>
          <t>ÖSTERGÖTLANDS LÄN</t>
        </is>
      </c>
      <c r="G136" t="inlineStr">
        <is>
          <t>BOXHOLM</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39031-2023</t>
        </is>
      </c>
      <c r="B137" t="inlineStr">
        <is>
          <t>avverkningsanmälan</t>
        </is>
      </c>
      <c r="C137" t="inlineStr">
        <is>
          <t>Föryngringsavverkning</t>
        </is>
      </c>
      <c r="D137" s="1" t="n">
        <v>45163</v>
      </c>
      <c r="E137" s="1" t="n">
        <v>46218</v>
      </c>
      <c r="F137" t="inlineStr">
        <is>
          <t>ÖSTERGÖTLANDS LÄN</t>
        </is>
      </c>
      <c r="G137" t="inlineStr">
        <is>
          <t>BOXHOLM</t>
        </is>
      </c>
      <c r="H137" t="inlineStr">
        <is>
          <t>Allmännings- och besparingsskogar</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4415-2024</t>
        </is>
      </c>
      <c r="B138" t="inlineStr">
        <is>
          <t>avverkningsanmälan</t>
        </is>
      </c>
      <c r="C138" t="inlineStr">
        <is>
          <t>Föryngringsavverkning</t>
        </is>
      </c>
      <c r="D138" s="1" t="n">
        <v>45327</v>
      </c>
      <c r="E138" s="1" t="n">
        <v>46218</v>
      </c>
      <c r="F138" t="inlineStr">
        <is>
          <t>ÖSTERGÖTLANDS LÄN</t>
        </is>
      </c>
      <c r="G138" t="inlineStr">
        <is>
          <t>BOXHOLM</t>
        </is>
      </c>
      <c r="H138" t="inlineStr">
        <is>
          <t>Allmännings- och besparingsskogar</t>
        </is>
      </c>
      <c r="I138" t="n">
        <v>6.4</v>
      </c>
      <c r="J138" t="n">
        <v>0</v>
      </c>
      <c r="K138" t="n">
        <v>0</v>
      </c>
      <c r="L138" t="n">
        <v>0</v>
      </c>
      <c r="M138" t="n">
        <v>0</v>
      </c>
      <c r="N138" t="n">
        <v>0</v>
      </c>
      <c r="O138" t="n">
        <v>0</v>
      </c>
      <c r="P138" t="n">
        <v>0</v>
      </c>
      <c r="Q138" t="n">
        <v>0</v>
      </c>
      <c r="R138" t="n">
        <v>0</v>
      </c>
      <c r="S138" t="n">
        <v>0</v>
      </c>
      <c r="T138" t="n">
        <v>0</v>
      </c>
      <c r="U138" s="2" t="inlineStr"/>
    </row>
    <row r="139" ht="15" customHeight="1">
      <c r="A139" t="inlineStr">
        <is>
          <t>A 39028-2023</t>
        </is>
      </c>
      <c r="B139" t="inlineStr">
        <is>
          <t>avverkningsanmälan</t>
        </is>
      </c>
      <c r="C139" t="inlineStr">
        <is>
          <t>Föryngringsavverkning</t>
        </is>
      </c>
      <c r="D139" s="1" t="n">
        <v>45163</v>
      </c>
      <c r="E139" s="1" t="n">
        <v>46218</v>
      </c>
      <c r="F139" t="inlineStr">
        <is>
          <t>ÖSTERGÖTLANDS LÄN</t>
        </is>
      </c>
      <c r="G139" t="inlineStr">
        <is>
          <t>BOXHOLM</t>
        </is>
      </c>
      <c r="H139" t="inlineStr">
        <is>
          <t>Allmännings- och besparingsskogar</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16635-2022</t>
        </is>
      </c>
      <c r="B140" t="inlineStr">
        <is>
          <t>avverkningsanmälan</t>
        </is>
      </c>
      <c r="C140" t="inlineStr">
        <is>
          <t>Föryngringsavverkning</t>
        </is>
      </c>
      <c r="D140" s="1" t="n">
        <v>44672</v>
      </c>
      <c r="E140" s="1" t="n">
        <v>46218</v>
      </c>
      <c r="F140" t="inlineStr">
        <is>
          <t>ÖSTERGÖTLANDS LÄN</t>
        </is>
      </c>
      <c r="G140" t="inlineStr">
        <is>
          <t>BOXHOLM</t>
        </is>
      </c>
      <c r="I140" t="n">
        <v>2.9</v>
      </c>
      <c r="J140" t="n">
        <v>0</v>
      </c>
      <c r="K140" t="n">
        <v>0</v>
      </c>
      <c r="L140" t="n">
        <v>0</v>
      </c>
      <c r="M140" t="n">
        <v>0</v>
      </c>
      <c r="N140" t="n">
        <v>0</v>
      </c>
      <c r="O140" t="n">
        <v>0</v>
      </c>
      <c r="P140" t="n">
        <v>0</v>
      </c>
      <c r="Q140" t="n">
        <v>0</v>
      </c>
      <c r="R140" t="n">
        <v>0</v>
      </c>
      <c r="S140" t="n">
        <v>0</v>
      </c>
      <c r="T140" t="n">
        <v>0</v>
      </c>
      <c r="U140" s="2" t="inlineStr"/>
    </row>
    <row r="141" ht="15" customHeight="1">
      <c r="A141" t="inlineStr">
        <is>
          <t>A 46519-2025</t>
        </is>
      </c>
      <c r="B141" t="inlineStr">
        <is>
          <t>avverkningsanmälan</t>
        </is>
      </c>
      <c r="C141" t="inlineStr">
        <is>
          <t>Föryngringsavverkning</t>
        </is>
      </c>
      <c r="D141" s="1" t="n">
        <v>45924</v>
      </c>
      <c r="E141" s="1" t="n">
        <v>46218</v>
      </c>
      <c r="F141" t="inlineStr">
        <is>
          <t>ÖSTERGÖTLANDS LÄN</t>
        </is>
      </c>
      <c r="G141" t="inlineStr">
        <is>
          <t>BOXHOLM</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3569-2024</t>
        </is>
      </c>
      <c r="B142" t="inlineStr">
        <is>
          <t>avverkningsanmälan</t>
        </is>
      </c>
      <c r="C142" t="inlineStr">
        <is>
          <t>Föryngringsavverkning</t>
        </is>
      </c>
      <c r="D142" s="1" t="n">
        <v>45320</v>
      </c>
      <c r="E142" s="1" t="n">
        <v>46218</v>
      </c>
      <c r="F142" t="inlineStr">
        <is>
          <t>ÖSTERGÖTLANDS LÄN</t>
        </is>
      </c>
      <c r="G142" t="inlineStr">
        <is>
          <t>BOXHOLM</t>
        </is>
      </c>
      <c r="H142" t="inlineStr">
        <is>
          <t>Övriga Aktiebolag</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22853-2023</t>
        </is>
      </c>
      <c r="B143" t="inlineStr">
        <is>
          <t>avverkningsanmälan</t>
        </is>
      </c>
      <c r="C143" t="inlineStr">
        <is>
          <t>Föryngringsavverkning</t>
        </is>
      </c>
      <c r="D143" s="1" t="n">
        <v>45072</v>
      </c>
      <c r="E143" s="1" t="n">
        <v>46218</v>
      </c>
      <c r="F143" t="inlineStr">
        <is>
          <t>ÖSTERGÖTLANDS LÄN</t>
        </is>
      </c>
      <c r="G143" t="inlineStr">
        <is>
          <t>BOXHOLM</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47446-2025</t>
        </is>
      </c>
      <c r="B144" t="inlineStr">
        <is>
          <t>avverkningsanmälan</t>
        </is>
      </c>
      <c r="C144" t="inlineStr">
        <is>
          <t>Föryngringsavverkning</t>
        </is>
      </c>
      <c r="D144" s="1" t="n">
        <v>45930</v>
      </c>
      <c r="E144" s="1" t="n">
        <v>46218</v>
      </c>
      <c r="F144" t="inlineStr">
        <is>
          <t>ÖSTERGÖTLANDS LÄN</t>
        </is>
      </c>
      <c r="G144" t="inlineStr">
        <is>
          <t>BOXHOLM</t>
        </is>
      </c>
      <c r="H144" t="inlineStr">
        <is>
          <t>Övriga Aktiebolag</t>
        </is>
      </c>
      <c r="I144" t="n">
        <v>4.1</v>
      </c>
      <c r="J144" t="n">
        <v>0</v>
      </c>
      <c r="K144" t="n">
        <v>0</v>
      </c>
      <c r="L144" t="n">
        <v>0</v>
      </c>
      <c r="M144" t="n">
        <v>0</v>
      </c>
      <c r="N144" t="n">
        <v>0</v>
      </c>
      <c r="O144" t="n">
        <v>0</v>
      </c>
      <c r="P144" t="n">
        <v>0</v>
      </c>
      <c r="Q144" t="n">
        <v>0</v>
      </c>
      <c r="R144" t="n">
        <v>0</v>
      </c>
      <c r="S144" t="n">
        <v>0</v>
      </c>
      <c r="T144" t="n">
        <v>0</v>
      </c>
      <c r="U144" s="2" t="inlineStr"/>
    </row>
    <row r="145" ht="15" customHeight="1">
      <c r="A145" t="inlineStr">
        <is>
          <t>A 1539-2025</t>
        </is>
      </c>
      <c r="B145" t="inlineStr">
        <is>
          <t>avverkningsanmälan</t>
        </is>
      </c>
      <c r="C145" t="inlineStr">
        <is>
          <t>Föryngringsavverkning</t>
        </is>
      </c>
      <c r="D145" s="1" t="n">
        <v>45670</v>
      </c>
      <c r="E145" s="1" t="n">
        <v>46218</v>
      </c>
      <c r="F145" t="inlineStr">
        <is>
          <t>ÖSTERGÖTLANDS LÄN</t>
        </is>
      </c>
      <c r="G145" t="inlineStr">
        <is>
          <t>BOXHOLM</t>
        </is>
      </c>
      <c r="H145" t="inlineStr">
        <is>
          <t>Övriga Aktiebolag</t>
        </is>
      </c>
      <c r="I145" t="n">
        <v>4.3</v>
      </c>
      <c r="J145" t="n">
        <v>0</v>
      </c>
      <c r="K145" t="n">
        <v>0</v>
      </c>
      <c r="L145" t="n">
        <v>0</v>
      </c>
      <c r="M145" t="n">
        <v>0</v>
      </c>
      <c r="N145" t="n">
        <v>0</v>
      </c>
      <c r="O145" t="n">
        <v>0</v>
      </c>
      <c r="P145" t="n">
        <v>0</v>
      </c>
      <c r="Q145" t="n">
        <v>0</v>
      </c>
      <c r="R145" t="n">
        <v>0</v>
      </c>
      <c r="S145" t="n">
        <v>0</v>
      </c>
      <c r="T145" t="n">
        <v>0</v>
      </c>
      <c r="U145" s="2" t="inlineStr"/>
    </row>
    <row r="146" ht="15" customHeight="1">
      <c r="A146" t="inlineStr">
        <is>
          <t>A 1597-2023</t>
        </is>
      </c>
      <c r="B146" t="inlineStr">
        <is>
          <t>avverkningsanmälan</t>
        </is>
      </c>
      <c r="C146" t="inlineStr">
        <is>
          <t>Föryngringsavverkning</t>
        </is>
      </c>
      <c r="D146" s="1" t="n">
        <v>44937</v>
      </c>
      <c r="E146" s="1" t="n">
        <v>46218</v>
      </c>
      <c r="F146" t="inlineStr">
        <is>
          <t>ÖSTERGÖTLANDS LÄN</t>
        </is>
      </c>
      <c r="G146" t="inlineStr">
        <is>
          <t>BOXHOLM</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8771-2022</t>
        </is>
      </c>
      <c r="B147" t="inlineStr">
        <is>
          <t>avverkningsanmälan</t>
        </is>
      </c>
      <c r="C147" t="inlineStr">
        <is>
          <t>Föryngringsavverkning</t>
        </is>
      </c>
      <c r="D147" s="1" t="n">
        <v>44614</v>
      </c>
      <c r="E147" s="1" t="n">
        <v>46218</v>
      </c>
      <c r="F147" t="inlineStr">
        <is>
          <t>ÖSTERGÖTLANDS LÄN</t>
        </is>
      </c>
      <c r="G147" t="inlineStr">
        <is>
          <t>BOXHOLM</t>
        </is>
      </c>
      <c r="H147" t="inlineStr">
        <is>
          <t>Övriga Aktiebolag</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8843-2025</t>
        </is>
      </c>
      <c r="B148" t="inlineStr">
        <is>
          <t>avverkningsanmälan</t>
        </is>
      </c>
      <c r="C148" t="inlineStr">
        <is>
          <t>Avverkning för att bevara och utveckla /försöksver</t>
        </is>
      </c>
      <c r="D148" s="1" t="n">
        <v>45713</v>
      </c>
      <c r="E148" s="1" t="n">
        <v>46218</v>
      </c>
      <c r="F148" t="inlineStr">
        <is>
          <t>ÖSTERGÖTLANDS LÄN</t>
        </is>
      </c>
      <c r="G148" t="inlineStr">
        <is>
          <t>BOXHOLM</t>
        </is>
      </c>
      <c r="H148" t="inlineStr">
        <is>
          <t>Övriga Aktiebolag</t>
        </is>
      </c>
      <c r="I148" t="n">
        <v>0</v>
      </c>
      <c r="J148" t="n">
        <v>0</v>
      </c>
      <c r="K148" t="n">
        <v>0</v>
      </c>
      <c r="L148" t="n">
        <v>0</v>
      </c>
      <c r="M148" t="n">
        <v>0</v>
      </c>
      <c r="N148" t="n">
        <v>0</v>
      </c>
      <c r="O148" t="n">
        <v>0</v>
      </c>
      <c r="P148" t="n">
        <v>0</v>
      </c>
      <c r="Q148" t="n">
        <v>0</v>
      </c>
      <c r="R148" t="n">
        <v>0</v>
      </c>
      <c r="S148" t="n">
        <v>0</v>
      </c>
      <c r="T148" t="n">
        <v>0</v>
      </c>
      <c r="U148" s="2" t="inlineStr"/>
    </row>
    <row r="149" ht="15" customHeight="1">
      <c r="A149" t="inlineStr">
        <is>
          <t>A 10331-2024</t>
        </is>
      </c>
      <c r="B149" t="inlineStr">
        <is>
          <t>avverkningsanmälan</t>
        </is>
      </c>
      <c r="C149" t="inlineStr">
        <is>
          <t>Föryngringsavverkning</t>
        </is>
      </c>
      <c r="D149" s="1" t="n">
        <v>45365</v>
      </c>
      <c r="E149" s="1" t="n">
        <v>46218</v>
      </c>
      <c r="F149" t="inlineStr">
        <is>
          <t>ÖSTERGÖTLANDS LÄN</t>
        </is>
      </c>
      <c r="G149" t="inlineStr">
        <is>
          <t>BOXHOLM</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38107-2021</t>
        </is>
      </c>
      <c r="B150" t="inlineStr">
        <is>
          <t>avverkningsanmälan</t>
        </is>
      </c>
      <c r="C150" t="inlineStr">
        <is>
          <t>Avverkning för annat ändamål</t>
        </is>
      </c>
      <c r="D150" s="1" t="n">
        <v>44405</v>
      </c>
      <c r="E150" s="1" t="n">
        <v>46218</v>
      </c>
      <c r="F150" t="inlineStr">
        <is>
          <t>ÖSTERGÖTLANDS LÄN</t>
        </is>
      </c>
      <c r="G150" t="inlineStr">
        <is>
          <t>BOXHOLM</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49089-2023</t>
        </is>
      </c>
      <c r="B151" t="inlineStr">
        <is>
          <t>avverkningsanmälan</t>
        </is>
      </c>
      <c r="C151" t="inlineStr">
        <is>
          <t>Föryngringsavverkning</t>
        </is>
      </c>
      <c r="D151" s="1" t="n">
        <v>45210</v>
      </c>
      <c r="E151" s="1" t="n">
        <v>46218</v>
      </c>
      <c r="F151" t="inlineStr">
        <is>
          <t>ÖSTERGÖTLANDS LÄN</t>
        </is>
      </c>
      <c r="G151" t="inlineStr">
        <is>
          <t>BOXHOLM</t>
        </is>
      </c>
      <c r="I151" t="n">
        <v>11.2</v>
      </c>
      <c r="J151" t="n">
        <v>0</v>
      </c>
      <c r="K151" t="n">
        <v>0</v>
      </c>
      <c r="L151" t="n">
        <v>0</v>
      </c>
      <c r="M151" t="n">
        <v>0</v>
      </c>
      <c r="N151" t="n">
        <v>0</v>
      </c>
      <c r="O151" t="n">
        <v>0</v>
      </c>
      <c r="P151" t="n">
        <v>0</v>
      </c>
      <c r="Q151" t="n">
        <v>0</v>
      </c>
      <c r="R151" t="n">
        <v>0</v>
      </c>
      <c r="S151" t="n">
        <v>0</v>
      </c>
      <c r="T151" t="n">
        <v>0</v>
      </c>
      <c r="U151" s="2" t="inlineStr"/>
    </row>
    <row r="152" ht="15" customHeight="1">
      <c r="A152" t="inlineStr">
        <is>
          <t>A 46588-2021</t>
        </is>
      </c>
      <c r="B152" t="inlineStr">
        <is>
          <t>avverkningsanmälan</t>
        </is>
      </c>
      <c r="C152" t="inlineStr">
        <is>
          <t>Föryngringsavverkning</t>
        </is>
      </c>
      <c r="D152" s="1" t="n">
        <v>44445</v>
      </c>
      <c r="E152" s="1" t="n">
        <v>46218</v>
      </c>
      <c r="F152" t="inlineStr">
        <is>
          <t>ÖSTERGÖTLANDS LÄN</t>
        </is>
      </c>
      <c r="G152" t="inlineStr">
        <is>
          <t>BOXHOLM</t>
        </is>
      </c>
      <c r="I152" t="n">
        <v>3.5</v>
      </c>
      <c r="J152" t="n">
        <v>0</v>
      </c>
      <c r="K152" t="n">
        <v>0</v>
      </c>
      <c r="L152" t="n">
        <v>0</v>
      </c>
      <c r="M152" t="n">
        <v>0</v>
      </c>
      <c r="N152" t="n">
        <v>0</v>
      </c>
      <c r="O152" t="n">
        <v>0</v>
      </c>
      <c r="P152" t="n">
        <v>0</v>
      </c>
      <c r="Q152" t="n">
        <v>0</v>
      </c>
      <c r="R152" t="n">
        <v>0</v>
      </c>
      <c r="S152" t="n">
        <v>0</v>
      </c>
      <c r="T152" t="n">
        <v>0</v>
      </c>
      <c r="U152" s="2" t="inlineStr"/>
    </row>
    <row r="153" ht="15" customHeight="1">
      <c r="A153" t="inlineStr">
        <is>
          <t>A 12203-2025</t>
        </is>
      </c>
      <c r="B153" t="inlineStr">
        <is>
          <t>avverkningsanmälan</t>
        </is>
      </c>
      <c r="C153" t="inlineStr">
        <is>
          <t>Föryngringsavverkning</t>
        </is>
      </c>
      <c r="D153" s="1" t="n">
        <v>45729</v>
      </c>
      <c r="E153" s="1" t="n">
        <v>46218</v>
      </c>
      <c r="F153" t="inlineStr">
        <is>
          <t>ÖSTERGÖTLANDS LÄN</t>
        </is>
      </c>
      <c r="G153" t="inlineStr">
        <is>
          <t>BOXHOLM</t>
        </is>
      </c>
      <c r="H153" t="inlineStr">
        <is>
          <t>Allmännings- och besparingsskogar</t>
        </is>
      </c>
      <c r="I153" t="n">
        <v>4.5</v>
      </c>
      <c r="J153" t="n">
        <v>0</v>
      </c>
      <c r="K153" t="n">
        <v>0</v>
      </c>
      <c r="L153" t="n">
        <v>0</v>
      </c>
      <c r="M153" t="n">
        <v>0</v>
      </c>
      <c r="N153" t="n">
        <v>0</v>
      </c>
      <c r="O153" t="n">
        <v>0</v>
      </c>
      <c r="P153" t="n">
        <v>0</v>
      </c>
      <c r="Q153" t="n">
        <v>0</v>
      </c>
      <c r="R153" t="n">
        <v>0</v>
      </c>
      <c r="S153" t="n">
        <v>0</v>
      </c>
      <c r="T153" t="n">
        <v>0</v>
      </c>
      <c r="U153" s="2" t="inlineStr"/>
    </row>
    <row r="154" ht="15" customHeight="1">
      <c r="A154" t="inlineStr">
        <is>
          <t>A 5824-2024</t>
        </is>
      </c>
      <c r="B154" t="inlineStr">
        <is>
          <t>avverkningsanmälan</t>
        </is>
      </c>
      <c r="C154" t="inlineStr">
        <is>
          <t>Föryngringsavverkning</t>
        </is>
      </c>
      <c r="D154" s="1" t="n">
        <v>45335</v>
      </c>
      <c r="E154" s="1" t="n">
        <v>46218</v>
      </c>
      <c r="F154" t="inlineStr">
        <is>
          <t>ÖSTERGÖTLANDS LÄN</t>
        </is>
      </c>
      <c r="G154" t="inlineStr">
        <is>
          <t>BOXHOLM</t>
        </is>
      </c>
      <c r="H154" t="inlineStr">
        <is>
          <t>Allmännings- och besparingsskogar</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2198-2023</t>
        </is>
      </c>
      <c r="B155" t="inlineStr">
        <is>
          <t>avverkningsanmälan</t>
        </is>
      </c>
      <c r="C155" t="inlineStr">
        <is>
          <t>Föryngringsavverkning</t>
        </is>
      </c>
      <c r="D155" s="1" t="n">
        <v>44942</v>
      </c>
      <c r="E155" s="1" t="n">
        <v>46218</v>
      </c>
      <c r="F155" t="inlineStr">
        <is>
          <t>ÖSTERGÖTLANDS LÄN</t>
        </is>
      </c>
      <c r="G155" t="inlineStr">
        <is>
          <t>BOXHOLM</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25431-2023</t>
        </is>
      </c>
      <c r="B156" t="inlineStr">
        <is>
          <t>avverkningsanmälan</t>
        </is>
      </c>
      <c r="C156" t="inlineStr">
        <is>
          <t>Föryngringsavverkning</t>
        </is>
      </c>
      <c r="D156" s="1" t="n">
        <v>45089</v>
      </c>
      <c r="E156" s="1" t="n">
        <v>46218</v>
      </c>
      <c r="F156" t="inlineStr">
        <is>
          <t>ÖSTERGÖTLANDS LÄN</t>
        </is>
      </c>
      <c r="G156" t="inlineStr">
        <is>
          <t>BOXHOLM</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74128-2021</t>
        </is>
      </c>
      <c r="B157" t="inlineStr">
        <is>
          <t>avverkningsanmälan</t>
        </is>
      </c>
      <c r="C157" t="inlineStr">
        <is>
          <t>Föryngringsavverkning</t>
        </is>
      </c>
      <c r="D157" s="1" t="n">
        <v>44557</v>
      </c>
      <c r="E157" s="1" t="n">
        <v>46218</v>
      </c>
      <c r="F157" t="inlineStr">
        <is>
          <t>ÖSTERGÖTLANDS LÄN</t>
        </is>
      </c>
      <c r="G157" t="inlineStr">
        <is>
          <t>BOXHOLM</t>
        </is>
      </c>
      <c r="I157" t="n">
        <v>4.9</v>
      </c>
      <c r="J157" t="n">
        <v>0</v>
      </c>
      <c r="K157" t="n">
        <v>0</v>
      </c>
      <c r="L157" t="n">
        <v>0</v>
      </c>
      <c r="M157" t="n">
        <v>0</v>
      </c>
      <c r="N157" t="n">
        <v>0</v>
      </c>
      <c r="O157" t="n">
        <v>0</v>
      </c>
      <c r="P157" t="n">
        <v>0</v>
      </c>
      <c r="Q157" t="n">
        <v>0</v>
      </c>
      <c r="R157" t="n">
        <v>0</v>
      </c>
      <c r="S157" t="n">
        <v>0</v>
      </c>
      <c r="T157" t="n">
        <v>0</v>
      </c>
      <c r="U157" s="2" t="inlineStr"/>
    </row>
    <row r="158" ht="15" customHeight="1">
      <c r="A158" t="inlineStr">
        <is>
          <t>A 17728-2025</t>
        </is>
      </c>
      <c r="B158" t="inlineStr">
        <is>
          <t>avverkningsanmälan</t>
        </is>
      </c>
      <c r="C158" t="inlineStr">
        <is>
          <t>Föryngringsavverkning</t>
        </is>
      </c>
      <c r="D158" s="1" t="n">
        <v>45758</v>
      </c>
      <c r="E158" s="1" t="n">
        <v>46218</v>
      </c>
      <c r="F158" t="inlineStr">
        <is>
          <t>ÖSTERGÖTLANDS LÄN</t>
        </is>
      </c>
      <c r="G158" t="inlineStr">
        <is>
          <t>BOXHOLM</t>
        </is>
      </c>
      <c r="H158" t="inlineStr">
        <is>
          <t>Övriga Aktiebolag</t>
        </is>
      </c>
      <c r="I158" t="n">
        <v>0.7</v>
      </c>
      <c r="J158" t="n">
        <v>0</v>
      </c>
      <c r="K158" t="n">
        <v>0</v>
      </c>
      <c r="L158" t="n">
        <v>0</v>
      </c>
      <c r="M158" t="n">
        <v>0</v>
      </c>
      <c r="N158" t="n">
        <v>0</v>
      </c>
      <c r="O158" t="n">
        <v>0</v>
      </c>
      <c r="P158" t="n">
        <v>0</v>
      </c>
      <c r="Q158" t="n">
        <v>0</v>
      </c>
      <c r="R158" t="n">
        <v>0</v>
      </c>
      <c r="S158" t="n">
        <v>0</v>
      </c>
      <c r="T158" t="n">
        <v>0</v>
      </c>
      <c r="U158" s="2" t="inlineStr"/>
    </row>
    <row r="159" ht="15" customHeight="1">
      <c r="A159" t="inlineStr">
        <is>
          <t>A 15501-2023</t>
        </is>
      </c>
      <c r="B159" t="inlineStr">
        <is>
          <t>avverkningsanmälan</t>
        </is>
      </c>
      <c r="C159" t="inlineStr">
        <is>
          <t>Föryngringsavverkning</t>
        </is>
      </c>
      <c r="D159" s="1" t="n">
        <v>45020</v>
      </c>
      <c r="E159" s="1" t="n">
        <v>46218</v>
      </c>
      <c r="F159" t="inlineStr">
        <is>
          <t>ÖSTERGÖTLANDS LÄN</t>
        </is>
      </c>
      <c r="G159" t="inlineStr">
        <is>
          <t>BOXHOLM</t>
        </is>
      </c>
      <c r="I159" t="n">
        <v>0</v>
      </c>
      <c r="J159" t="n">
        <v>0</v>
      </c>
      <c r="K159" t="n">
        <v>0</v>
      </c>
      <c r="L159" t="n">
        <v>0</v>
      </c>
      <c r="M159" t="n">
        <v>0</v>
      </c>
      <c r="N159" t="n">
        <v>0</v>
      </c>
      <c r="O159" t="n">
        <v>0</v>
      </c>
      <c r="P159" t="n">
        <v>0</v>
      </c>
      <c r="Q159" t="n">
        <v>0</v>
      </c>
      <c r="R159" t="n">
        <v>0</v>
      </c>
      <c r="S159" t="n">
        <v>0</v>
      </c>
      <c r="T159" t="n">
        <v>0</v>
      </c>
      <c r="U159" s="2" t="inlineStr"/>
    </row>
    <row r="160" ht="15" customHeight="1">
      <c r="A160" t="inlineStr">
        <is>
          <t>A 15505-2023</t>
        </is>
      </c>
      <c r="B160" t="inlineStr">
        <is>
          <t>avverkningsanmälan</t>
        </is>
      </c>
      <c r="C160" t="inlineStr">
        <is>
          <t>Föryngringsavverkning</t>
        </is>
      </c>
      <c r="D160" s="1" t="n">
        <v>45020</v>
      </c>
      <c r="E160" s="1" t="n">
        <v>46218</v>
      </c>
      <c r="F160" t="inlineStr">
        <is>
          <t>ÖSTERGÖTLANDS LÄN</t>
        </is>
      </c>
      <c r="G160" t="inlineStr">
        <is>
          <t>BOXHOLM</t>
        </is>
      </c>
      <c r="I160" t="n">
        <v>2.1</v>
      </c>
      <c r="J160" t="n">
        <v>0</v>
      </c>
      <c r="K160" t="n">
        <v>0</v>
      </c>
      <c r="L160" t="n">
        <v>0</v>
      </c>
      <c r="M160" t="n">
        <v>0</v>
      </c>
      <c r="N160" t="n">
        <v>0</v>
      </c>
      <c r="O160" t="n">
        <v>0</v>
      </c>
      <c r="P160" t="n">
        <v>0</v>
      </c>
      <c r="Q160" t="n">
        <v>0</v>
      </c>
      <c r="R160" t="n">
        <v>0</v>
      </c>
      <c r="S160" t="n">
        <v>0</v>
      </c>
      <c r="T160" t="n">
        <v>0</v>
      </c>
      <c r="U160" s="2" t="inlineStr"/>
    </row>
    <row r="161" ht="15" customHeight="1">
      <c r="A161" t="inlineStr">
        <is>
          <t>A 50082-2025</t>
        </is>
      </c>
      <c r="B161" t="inlineStr">
        <is>
          <t>avverkningsanmälan</t>
        </is>
      </c>
      <c r="C161" t="inlineStr">
        <is>
          <t>Avverkning för att bevara och utveckla /försöksver</t>
        </is>
      </c>
      <c r="D161" s="1" t="n">
        <v>45943</v>
      </c>
      <c r="E161" s="1" t="n">
        <v>46218</v>
      </c>
      <c r="F161" t="inlineStr">
        <is>
          <t>ÖSTERGÖTLANDS LÄN</t>
        </is>
      </c>
      <c r="G161" t="inlineStr">
        <is>
          <t>BOXHOLM</t>
        </is>
      </c>
      <c r="H161" t="inlineStr">
        <is>
          <t>Övriga Aktiebolag</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50164-2025</t>
        </is>
      </c>
      <c r="B162" t="inlineStr">
        <is>
          <t>avverkningsanmälan</t>
        </is>
      </c>
      <c r="C162" t="inlineStr">
        <is>
          <t>Föryngringsavverkning</t>
        </is>
      </c>
      <c r="D162" s="1" t="n">
        <v>45943</v>
      </c>
      <c r="E162" s="1" t="n">
        <v>46218</v>
      </c>
      <c r="F162" t="inlineStr">
        <is>
          <t>ÖSTERGÖTLANDS LÄN</t>
        </is>
      </c>
      <c r="G162" t="inlineStr">
        <is>
          <t>BOXHOLM</t>
        </is>
      </c>
      <c r="H162" t="inlineStr">
        <is>
          <t>Övriga Aktiebolag</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10250-2023</t>
        </is>
      </c>
      <c r="B163" t="inlineStr">
        <is>
          <t>avverkningsanmälan</t>
        </is>
      </c>
      <c r="C163" t="inlineStr">
        <is>
          <t>Föryngringsavverkning</t>
        </is>
      </c>
      <c r="D163" s="1" t="n">
        <v>44980</v>
      </c>
      <c r="E163" s="1" t="n">
        <v>46218</v>
      </c>
      <c r="F163" t="inlineStr">
        <is>
          <t>ÖSTERGÖTLANDS LÄN</t>
        </is>
      </c>
      <c r="G163" t="inlineStr">
        <is>
          <t>BOXHOLM</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50019-2025</t>
        </is>
      </c>
      <c r="B164" t="inlineStr">
        <is>
          <t>avverkningsanmälan</t>
        </is>
      </c>
      <c r="C164" t="inlineStr">
        <is>
          <t>Föryngringsavverkning</t>
        </is>
      </c>
      <c r="D164" s="1" t="n">
        <v>45943</v>
      </c>
      <c r="E164" s="1" t="n">
        <v>46218</v>
      </c>
      <c r="F164" t="inlineStr">
        <is>
          <t>ÖSTERGÖTLANDS LÄN</t>
        </is>
      </c>
      <c r="G164" t="inlineStr">
        <is>
          <t>BOXHOLM</t>
        </is>
      </c>
      <c r="H164" t="inlineStr">
        <is>
          <t>Övriga Aktiebolag</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50095-2025</t>
        </is>
      </c>
      <c r="B165" t="inlineStr">
        <is>
          <t>avverkningsanmälan</t>
        </is>
      </c>
      <c r="C165" t="inlineStr">
        <is>
          <t>Föryngringsavverkning</t>
        </is>
      </c>
      <c r="D165" s="1" t="n">
        <v>45943</v>
      </c>
      <c r="E165" s="1" t="n">
        <v>46218</v>
      </c>
      <c r="F165" t="inlineStr">
        <is>
          <t>ÖSTERGÖTLANDS LÄN</t>
        </is>
      </c>
      <c r="G165" t="inlineStr">
        <is>
          <t>BOXHOLM</t>
        </is>
      </c>
      <c r="H165" t="inlineStr">
        <is>
          <t>Övriga Aktiebolag</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15746-2023</t>
        </is>
      </c>
      <c r="B166" t="inlineStr">
        <is>
          <t>avverkningsanmälan</t>
        </is>
      </c>
      <c r="C166" t="inlineStr">
        <is>
          <t>Föryngringsavverkning</t>
        </is>
      </c>
      <c r="D166" s="1" t="n">
        <v>45021</v>
      </c>
      <c r="E166" s="1" t="n">
        <v>46218</v>
      </c>
      <c r="F166" t="inlineStr">
        <is>
          <t>ÖSTERGÖTLANDS LÄN</t>
        </is>
      </c>
      <c r="G166" t="inlineStr">
        <is>
          <t>BOXHOLM</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50612-2025</t>
        </is>
      </c>
      <c r="B167" t="inlineStr">
        <is>
          <t>avverkningsanmälan</t>
        </is>
      </c>
      <c r="C167" t="inlineStr">
        <is>
          <t>Föryngringsavverkning</t>
        </is>
      </c>
      <c r="D167" s="1" t="n">
        <v>45945</v>
      </c>
      <c r="E167" s="1" t="n">
        <v>46218</v>
      </c>
      <c r="F167" t="inlineStr">
        <is>
          <t>ÖSTERGÖTLANDS LÄN</t>
        </is>
      </c>
      <c r="G167" t="inlineStr">
        <is>
          <t>BOXHOLM</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51757-2023</t>
        </is>
      </c>
      <c r="B168" t="inlineStr">
        <is>
          <t>avverkningsanmälan</t>
        </is>
      </c>
      <c r="C168" t="inlineStr">
        <is>
          <t>Föryngringsavverkning</t>
        </is>
      </c>
      <c r="D168" s="1" t="n">
        <v>45222</v>
      </c>
      <c r="E168" s="1" t="n">
        <v>46218</v>
      </c>
      <c r="F168" t="inlineStr">
        <is>
          <t>ÖSTERGÖTLANDS LÄN</t>
        </is>
      </c>
      <c r="G168" t="inlineStr">
        <is>
          <t>BOXHOLM</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36491-2023</t>
        </is>
      </c>
      <c r="B169" t="inlineStr">
        <is>
          <t>avverkningsanmälan</t>
        </is>
      </c>
      <c r="C169" t="inlineStr">
        <is>
          <t>Föryngringsavverkning</t>
        </is>
      </c>
      <c r="D169" s="1" t="n">
        <v>45152</v>
      </c>
      <c r="E169" s="1" t="n">
        <v>46218</v>
      </c>
      <c r="F169" t="inlineStr">
        <is>
          <t>ÖSTERGÖTLANDS LÄN</t>
        </is>
      </c>
      <c r="G169" t="inlineStr">
        <is>
          <t>BOXHOLM</t>
        </is>
      </c>
      <c r="I169" t="n">
        <v>10</v>
      </c>
      <c r="J169" t="n">
        <v>0</v>
      </c>
      <c r="K169" t="n">
        <v>0</v>
      </c>
      <c r="L169" t="n">
        <v>0</v>
      </c>
      <c r="M169" t="n">
        <v>0</v>
      </c>
      <c r="N169" t="n">
        <v>0</v>
      </c>
      <c r="O169" t="n">
        <v>0</v>
      </c>
      <c r="P169" t="n">
        <v>0</v>
      </c>
      <c r="Q169" t="n">
        <v>0</v>
      </c>
      <c r="R169" t="n">
        <v>0</v>
      </c>
      <c r="S169" t="n">
        <v>0</v>
      </c>
      <c r="T169" t="n">
        <v>0</v>
      </c>
      <c r="U169" s="2" t="inlineStr"/>
    </row>
    <row r="170" ht="15" customHeight="1">
      <c r="A170" t="inlineStr">
        <is>
          <t>A 25127-2024</t>
        </is>
      </c>
      <c r="B170" t="inlineStr">
        <is>
          <t>avverkningsanmälan</t>
        </is>
      </c>
      <c r="C170" t="inlineStr">
        <is>
          <t>Avverkning för att bevara och utveckla /försöksver</t>
        </is>
      </c>
      <c r="D170" s="1" t="n">
        <v>45462</v>
      </c>
      <c r="E170" s="1" t="n">
        <v>46218</v>
      </c>
      <c r="F170" t="inlineStr">
        <is>
          <t>ÖSTERGÖTLANDS LÄN</t>
        </is>
      </c>
      <c r="G170" t="inlineStr">
        <is>
          <t>BOXHOLM</t>
        </is>
      </c>
      <c r="H170" t="inlineStr">
        <is>
          <t>Övriga Aktiebolag</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51091-2025</t>
        </is>
      </c>
      <c r="B171" t="inlineStr">
        <is>
          <t>avverkningsanmälan</t>
        </is>
      </c>
      <c r="C171" t="inlineStr">
        <is>
          <t>Föryngringsavverkning</t>
        </is>
      </c>
      <c r="D171" s="1" t="n">
        <v>45947</v>
      </c>
      <c r="E171" s="1" t="n">
        <v>46218</v>
      </c>
      <c r="F171" t="inlineStr">
        <is>
          <t>ÖSTERGÖTLANDS LÄN</t>
        </is>
      </c>
      <c r="G171" t="inlineStr">
        <is>
          <t>BOXHOLM</t>
        </is>
      </c>
      <c r="H171" t="inlineStr">
        <is>
          <t>Övriga Aktiebolag</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55254-2022</t>
        </is>
      </c>
      <c r="B172" t="inlineStr">
        <is>
          <t>avverkningsanmälan</t>
        </is>
      </c>
      <c r="C172" t="inlineStr">
        <is>
          <t>Föryngringsavverkning</t>
        </is>
      </c>
      <c r="D172" s="1" t="n">
        <v>44887</v>
      </c>
      <c r="E172" s="1" t="n">
        <v>46218</v>
      </c>
      <c r="F172" t="inlineStr">
        <is>
          <t>ÖSTERGÖTLANDS LÄN</t>
        </is>
      </c>
      <c r="G172" t="inlineStr">
        <is>
          <t>BOXHOLM</t>
        </is>
      </c>
      <c r="H172" t="inlineStr">
        <is>
          <t>Övriga Aktiebolag</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9059-2023</t>
        </is>
      </c>
      <c r="B173" t="inlineStr">
        <is>
          <t>avverkningsanmälan</t>
        </is>
      </c>
      <c r="C173" t="inlineStr">
        <is>
          <t>Föryngringsavverkning</t>
        </is>
      </c>
      <c r="D173" s="1" t="n">
        <v>44979</v>
      </c>
      <c r="E173" s="1" t="n">
        <v>46218</v>
      </c>
      <c r="F173" t="inlineStr">
        <is>
          <t>ÖSTERGÖTLANDS LÄN</t>
        </is>
      </c>
      <c r="G173" t="inlineStr">
        <is>
          <t>BOXHOLM</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966-2024</t>
        </is>
      </c>
      <c r="B174" t="inlineStr">
        <is>
          <t>avverkningsanmälan</t>
        </is>
      </c>
      <c r="C174" t="inlineStr">
        <is>
          <t>Föryngringsavverkning</t>
        </is>
      </c>
      <c r="D174" s="1" t="n">
        <v>45301</v>
      </c>
      <c r="E174" s="1" t="n">
        <v>46218</v>
      </c>
      <c r="F174" t="inlineStr">
        <is>
          <t>ÖSTERGÖTLANDS LÄN</t>
        </is>
      </c>
      <c r="G174" t="inlineStr">
        <is>
          <t>BOXHOLM</t>
        </is>
      </c>
      <c r="I174" t="n">
        <v>2.8</v>
      </c>
      <c r="J174" t="n">
        <v>0</v>
      </c>
      <c r="K174" t="n">
        <v>0</v>
      </c>
      <c r="L174" t="n">
        <v>0</v>
      </c>
      <c r="M174" t="n">
        <v>0</v>
      </c>
      <c r="N174" t="n">
        <v>0</v>
      </c>
      <c r="O174" t="n">
        <v>0</v>
      </c>
      <c r="P174" t="n">
        <v>0</v>
      </c>
      <c r="Q174" t="n">
        <v>0</v>
      </c>
      <c r="R174" t="n">
        <v>0</v>
      </c>
      <c r="S174" t="n">
        <v>0</v>
      </c>
      <c r="T174" t="n">
        <v>0</v>
      </c>
      <c r="U174" s="2" t="inlineStr"/>
    </row>
    <row r="175" ht="15" customHeight="1">
      <c r="A175" t="inlineStr">
        <is>
          <t>A 13606-2024</t>
        </is>
      </c>
      <c r="B175" t="inlineStr">
        <is>
          <t>avverkningsanmälan</t>
        </is>
      </c>
      <c r="C175" t="inlineStr">
        <is>
          <t>Föryngringsavverkning</t>
        </is>
      </c>
      <c r="D175" s="1" t="n">
        <v>45390</v>
      </c>
      <c r="E175" s="1" t="n">
        <v>46218</v>
      </c>
      <c r="F175" t="inlineStr">
        <is>
          <t>ÖSTERGÖTLANDS LÄN</t>
        </is>
      </c>
      <c r="G175" t="inlineStr">
        <is>
          <t>BOXHOLM</t>
        </is>
      </c>
      <c r="H175" t="inlineStr">
        <is>
          <t>Övriga Aktiebolag</t>
        </is>
      </c>
      <c r="I175" t="n">
        <v>5.8</v>
      </c>
      <c r="J175" t="n">
        <v>0</v>
      </c>
      <c r="K175" t="n">
        <v>0</v>
      </c>
      <c r="L175" t="n">
        <v>0</v>
      </c>
      <c r="M175" t="n">
        <v>0</v>
      </c>
      <c r="N175" t="n">
        <v>0</v>
      </c>
      <c r="O175" t="n">
        <v>0</v>
      </c>
      <c r="P175" t="n">
        <v>0</v>
      </c>
      <c r="Q175" t="n">
        <v>0</v>
      </c>
      <c r="R175" t="n">
        <v>0</v>
      </c>
      <c r="S175" t="n">
        <v>0</v>
      </c>
      <c r="T175" t="n">
        <v>0</v>
      </c>
      <c r="U175" s="2" t="inlineStr"/>
    </row>
    <row r="176" ht="15" customHeight="1">
      <c r="A176" t="inlineStr">
        <is>
          <t>A 40294-2024</t>
        </is>
      </c>
      <c r="B176" t="inlineStr">
        <is>
          <t>avverkningsanmälan</t>
        </is>
      </c>
      <c r="C176" t="inlineStr">
        <is>
          <t>Föryngringsavverkning</t>
        </is>
      </c>
      <c r="D176" s="1" t="n">
        <v>45554</v>
      </c>
      <c r="E176" s="1" t="n">
        <v>46218</v>
      </c>
      <c r="F176" t="inlineStr">
        <is>
          <t>ÖSTERGÖTLANDS LÄN</t>
        </is>
      </c>
      <c r="G176" t="inlineStr">
        <is>
          <t>BOXHOLM</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21385-2025</t>
        </is>
      </c>
      <c r="B177" t="inlineStr">
        <is>
          <t>avverkningsanmälan</t>
        </is>
      </c>
      <c r="C177" t="inlineStr">
        <is>
          <t>Föryngringsavverkning</t>
        </is>
      </c>
      <c r="D177" s="1" t="n">
        <v>45782</v>
      </c>
      <c r="E177" s="1" t="n">
        <v>46218</v>
      </c>
      <c r="F177" t="inlineStr">
        <is>
          <t>ÖSTERGÖTLANDS LÄN</t>
        </is>
      </c>
      <c r="G177" t="inlineStr">
        <is>
          <t>BOXHOLM</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44896-2023</t>
        </is>
      </c>
      <c r="B178" t="inlineStr">
        <is>
          <t>avverkningsanmälan</t>
        </is>
      </c>
      <c r="C178" t="inlineStr">
        <is>
          <t>Föryngringsavverkning</t>
        </is>
      </c>
      <c r="D178" s="1" t="n">
        <v>45190</v>
      </c>
      <c r="E178" s="1" t="n">
        <v>46218</v>
      </c>
      <c r="F178" t="inlineStr">
        <is>
          <t>ÖSTERGÖTLANDS LÄN</t>
        </is>
      </c>
      <c r="G178" t="inlineStr">
        <is>
          <t>BOXHOLM</t>
        </is>
      </c>
      <c r="H178" t="inlineStr">
        <is>
          <t>Allmännings- och besparingsskogar</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54934-2022</t>
        </is>
      </c>
      <c r="B179" t="inlineStr">
        <is>
          <t>avverkningsanmälan</t>
        </is>
      </c>
      <c r="C179" t="inlineStr">
        <is>
          <t>Föryngringsavverkning</t>
        </is>
      </c>
      <c r="D179" s="1" t="n">
        <v>44886</v>
      </c>
      <c r="E179" s="1" t="n">
        <v>46218</v>
      </c>
      <c r="F179" t="inlineStr">
        <is>
          <t>ÖSTERGÖTLANDS LÄN</t>
        </is>
      </c>
      <c r="G179" t="inlineStr">
        <is>
          <t>BOXHOLM</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52551-2025</t>
        </is>
      </c>
      <c r="B180" t="inlineStr">
        <is>
          <t>avverkningsanmälan</t>
        </is>
      </c>
      <c r="C180" t="inlineStr">
        <is>
          <t>Avverkning för att bevara och utveckla /försöksver</t>
        </is>
      </c>
      <c r="D180" s="1" t="n">
        <v>45954</v>
      </c>
      <c r="E180" s="1" t="n">
        <v>46218</v>
      </c>
      <c r="F180" t="inlineStr">
        <is>
          <t>ÖSTERGÖTLANDS LÄN</t>
        </is>
      </c>
      <c r="G180" t="inlineStr">
        <is>
          <t>BOXHOLM</t>
        </is>
      </c>
      <c r="H180" t="inlineStr">
        <is>
          <t>Övriga Aktiebolag</t>
        </is>
      </c>
      <c r="I180" t="n">
        <v>1.2</v>
      </c>
      <c r="J180" t="n">
        <v>0</v>
      </c>
      <c r="K180" t="n">
        <v>0</v>
      </c>
      <c r="L180" t="n">
        <v>0</v>
      </c>
      <c r="M180" t="n">
        <v>0</v>
      </c>
      <c r="N180" t="n">
        <v>0</v>
      </c>
      <c r="O180" t="n">
        <v>0</v>
      </c>
      <c r="P180" t="n">
        <v>0</v>
      </c>
      <c r="Q180" t="n">
        <v>0</v>
      </c>
      <c r="R180" t="n">
        <v>0</v>
      </c>
      <c r="S180" t="n">
        <v>0</v>
      </c>
      <c r="T180" t="n">
        <v>0</v>
      </c>
      <c r="U180" s="2" t="inlineStr"/>
    </row>
    <row r="181" ht="15" customHeight="1">
      <c r="A181" t="inlineStr">
        <is>
          <t>A 16146-2023</t>
        </is>
      </c>
      <c r="B181" t="inlineStr">
        <is>
          <t>avverkningsanmälan</t>
        </is>
      </c>
      <c r="C181" t="inlineStr">
        <is>
          <t>Föryngringsavverkning</t>
        </is>
      </c>
      <c r="D181" s="1" t="n">
        <v>45027</v>
      </c>
      <c r="E181" s="1" t="n">
        <v>46218</v>
      </c>
      <c r="F181" t="inlineStr">
        <is>
          <t>ÖSTERGÖTLANDS LÄN</t>
        </is>
      </c>
      <c r="G181" t="inlineStr">
        <is>
          <t>BOXHOLM</t>
        </is>
      </c>
      <c r="H181" t="inlineStr">
        <is>
          <t>Allmännings- och besparingsskogar</t>
        </is>
      </c>
      <c r="I181" t="n">
        <v>2.9</v>
      </c>
      <c r="J181" t="n">
        <v>0</v>
      </c>
      <c r="K181" t="n">
        <v>0</v>
      </c>
      <c r="L181" t="n">
        <v>0</v>
      </c>
      <c r="M181" t="n">
        <v>0</v>
      </c>
      <c r="N181" t="n">
        <v>0</v>
      </c>
      <c r="O181" t="n">
        <v>0</v>
      </c>
      <c r="P181" t="n">
        <v>0</v>
      </c>
      <c r="Q181" t="n">
        <v>0</v>
      </c>
      <c r="R181" t="n">
        <v>0</v>
      </c>
      <c r="S181" t="n">
        <v>0</v>
      </c>
      <c r="T181" t="n">
        <v>0</v>
      </c>
      <c r="U181" s="2" t="inlineStr"/>
    </row>
    <row r="182" ht="15" customHeight="1">
      <c r="A182" t="inlineStr">
        <is>
          <t>A 47333-2024</t>
        </is>
      </c>
      <c r="B182" t="inlineStr">
        <is>
          <t>avverkningsanmälan</t>
        </is>
      </c>
      <c r="C182" t="inlineStr">
        <is>
          <t>Föryngringsavverkning</t>
        </is>
      </c>
      <c r="D182" s="1" t="n">
        <v>45587</v>
      </c>
      <c r="E182" s="1" t="n">
        <v>46218</v>
      </c>
      <c r="F182" t="inlineStr">
        <is>
          <t>ÖSTERGÖTLANDS LÄN</t>
        </is>
      </c>
      <c r="G182" t="inlineStr">
        <is>
          <t>BOXHOLM</t>
        </is>
      </c>
      <c r="H182" t="inlineStr">
        <is>
          <t>Allmännings- och besparingsskogar</t>
        </is>
      </c>
      <c r="I182" t="n">
        <v>4.5</v>
      </c>
      <c r="J182" t="n">
        <v>0</v>
      </c>
      <c r="K182" t="n">
        <v>0</v>
      </c>
      <c r="L182" t="n">
        <v>0</v>
      </c>
      <c r="M182" t="n">
        <v>0</v>
      </c>
      <c r="N182" t="n">
        <v>0</v>
      </c>
      <c r="O182" t="n">
        <v>0</v>
      </c>
      <c r="P182" t="n">
        <v>0</v>
      </c>
      <c r="Q182" t="n">
        <v>0</v>
      </c>
      <c r="R182" t="n">
        <v>0</v>
      </c>
      <c r="S182" t="n">
        <v>0</v>
      </c>
      <c r="T182" t="n">
        <v>0</v>
      </c>
      <c r="U182" s="2" t="inlineStr"/>
    </row>
    <row r="183" ht="15" customHeight="1">
      <c r="A183" t="inlineStr">
        <is>
          <t>A 6884-2024</t>
        </is>
      </c>
      <c r="B183" t="inlineStr">
        <is>
          <t>avverkningsanmälan</t>
        </is>
      </c>
      <c r="C183" t="inlineStr">
        <is>
          <t>Föryngringsavverkning</t>
        </is>
      </c>
      <c r="D183" s="1" t="n">
        <v>45342</v>
      </c>
      <c r="E183" s="1" t="n">
        <v>46218</v>
      </c>
      <c r="F183" t="inlineStr">
        <is>
          <t>ÖSTERGÖTLANDS LÄN</t>
        </is>
      </c>
      <c r="G183" t="inlineStr">
        <is>
          <t>BOXHOLM</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52514-2025</t>
        </is>
      </c>
      <c r="B184" t="inlineStr">
        <is>
          <t>avverkningsanmälan</t>
        </is>
      </c>
      <c r="C184" t="inlineStr">
        <is>
          <t>Föryngringsavverkning</t>
        </is>
      </c>
      <c r="D184" s="1" t="n">
        <v>45954</v>
      </c>
      <c r="E184" s="1" t="n">
        <v>46218</v>
      </c>
      <c r="F184" t="inlineStr">
        <is>
          <t>ÖSTERGÖTLANDS LÄN</t>
        </is>
      </c>
      <c r="G184" t="inlineStr">
        <is>
          <t>BOXHOLM</t>
        </is>
      </c>
      <c r="H184" t="inlineStr">
        <is>
          <t>Övriga Aktiebolag</t>
        </is>
      </c>
      <c r="I184" t="n">
        <v>2</v>
      </c>
      <c r="J184" t="n">
        <v>0</v>
      </c>
      <c r="K184" t="n">
        <v>0</v>
      </c>
      <c r="L184" t="n">
        <v>0</v>
      </c>
      <c r="M184" t="n">
        <v>0</v>
      </c>
      <c r="N184" t="n">
        <v>0</v>
      </c>
      <c r="O184" t="n">
        <v>0</v>
      </c>
      <c r="P184" t="n">
        <v>0</v>
      </c>
      <c r="Q184" t="n">
        <v>0</v>
      </c>
      <c r="R184" t="n">
        <v>0</v>
      </c>
      <c r="S184" t="n">
        <v>0</v>
      </c>
      <c r="T184" t="n">
        <v>0</v>
      </c>
      <c r="U184" s="2" t="inlineStr"/>
    </row>
    <row r="185" ht="15" customHeight="1">
      <c r="A185" t="inlineStr">
        <is>
          <t>A 35648-2023</t>
        </is>
      </c>
      <c r="B185" t="inlineStr">
        <is>
          <t>avverkningsanmälan</t>
        </is>
      </c>
      <c r="C185" t="inlineStr">
        <is>
          <t>Föryngringsavverkning</t>
        </is>
      </c>
      <c r="D185" s="1" t="n">
        <v>45147</v>
      </c>
      <c r="E185" s="1" t="n">
        <v>46218</v>
      </c>
      <c r="F185" t="inlineStr">
        <is>
          <t>ÖSTERGÖTLANDS LÄN</t>
        </is>
      </c>
      <c r="G185" t="inlineStr">
        <is>
          <t>BOXHOLM</t>
        </is>
      </c>
      <c r="I185" t="n">
        <v>5</v>
      </c>
      <c r="J185" t="n">
        <v>0</v>
      </c>
      <c r="K185" t="n">
        <v>0</v>
      </c>
      <c r="L185" t="n">
        <v>0</v>
      </c>
      <c r="M185" t="n">
        <v>0</v>
      </c>
      <c r="N185" t="n">
        <v>0</v>
      </c>
      <c r="O185" t="n">
        <v>0</v>
      </c>
      <c r="P185" t="n">
        <v>0</v>
      </c>
      <c r="Q185" t="n">
        <v>0</v>
      </c>
      <c r="R185" t="n">
        <v>0</v>
      </c>
      <c r="S185" t="n">
        <v>0</v>
      </c>
      <c r="T185" t="n">
        <v>0</v>
      </c>
      <c r="U185" s="2" t="inlineStr"/>
    </row>
    <row r="186" ht="15" customHeight="1">
      <c r="A186" t="inlineStr">
        <is>
          <t>A 34839-2023</t>
        </is>
      </c>
      <c r="B186" t="inlineStr">
        <is>
          <t>avverkningsanmälan</t>
        </is>
      </c>
      <c r="C186" t="inlineStr">
        <is>
          <t>Föryngringsavverkning</t>
        </is>
      </c>
      <c r="D186" s="1" t="n">
        <v>45141</v>
      </c>
      <c r="E186" s="1" t="n">
        <v>46218</v>
      </c>
      <c r="F186" t="inlineStr">
        <is>
          <t>ÖSTERGÖTLANDS LÄN</t>
        </is>
      </c>
      <c r="G186" t="inlineStr">
        <is>
          <t>BOXHOLM</t>
        </is>
      </c>
      <c r="I186" t="n">
        <v>2.6</v>
      </c>
      <c r="J186" t="n">
        <v>0</v>
      </c>
      <c r="K186" t="n">
        <v>0</v>
      </c>
      <c r="L186" t="n">
        <v>0</v>
      </c>
      <c r="M186" t="n">
        <v>0</v>
      </c>
      <c r="N186" t="n">
        <v>0</v>
      </c>
      <c r="O186" t="n">
        <v>0</v>
      </c>
      <c r="P186" t="n">
        <v>0</v>
      </c>
      <c r="Q186" t="n">
        <v>0</v>
      </c>
      <c r="R186" t="n">
        <v>0</v>
      </c>
      <c r="S186" t="n">
        <v>0</v>
      </c>
      <c r="T186" t="n">
        <v>0</v>
      </c>
      <c r="U186" s="2" t="inlineStr"/>
    </row>
    <row r="187" ht="15" customHeight="1">
      <c r="A187" t="inlineStr">
        <is>
          <t>A 15502-2023</t>
        </is>
      </c>
      <c r="B187" t="inlineStr">
        <is>
          <t>avverkningsanmälan</t>
        </is>
      </c>
      <c r="C187" t="inlineStr">
        <is>
          <t>Föryngringsavverkning</t>
        </is>
      </c>
      <c r="D187" s="1" t="n">
        <v>45020</v>
      </c>
      <c r="E187" s="1" t="n">
        <v>46218</v>
      </c>
      <c r="F187" t="inlineStr">
        <is>
          <t>ÖSTERGÖTLANDS LÄN</t>
        </is>
      </c>
      <c r="G187" t="inlineStr">
        <is>
          <t>BOXHOLM</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58472-2021</t>
        </is>
      </c>
      <c r="B188" t="inlineStr">
        <is>
          <t>avverkningsanmälan</t>
        </is>
      </c>
      <c r="C188" t="inlineStr">
        <is>
          <t>Föryngringsavverkning</t>
        </is>
      </c>
      <c r="D188" s="1" t="n">
        <v>44488</v>
      </c>
      <c r="E188" s="1" t="n">
        <v>46218</v>
      </c>
      <c r="F188" t="inlineStr">
        <is>
          <t>ÖSTERGÖTLANDS LÄN</t>
        </is>
      </c>
      <c r="G188" t="inlineStr">
        <is>
          <t>BOXHOLM</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6209-2024</t>
        </is>
      </c>
      <c r="B189" t="inlineStr">
        <is>
          <t>avverkningsanmälan</t>
        </is>
      </c>
      <c r="C189" t="inlineStr">
        <is>
          <t>Föryngringsavverkning</t>
        </is>
      </c>
      <c r="D189" s="1" t="n">
        <v>45337</v>
      </c>
      <c r="E189" s="1" t="n">
        <v>46218</v>
      </c>
      <c r="F189" t="inlineStr">
        <is>
          <t>ÖSTERGÖTLANDS LÄN</t>
        </is>
      </c>
      <c r="G189" t="inlineStr">
        <is>
          <t>BOXHOLM</t>
        </is>
      </c>
      <c r="I189" t="n">
        <v>3</v>
      </c>
      <c r="J189" t="n">
        <v>0</v>
      </c>
      <c r="K189" t="n">
        <v>0</v>
      </c>
      <c r="L189" t="n">
        <v>0</v>
      </c>
      <c r="M189" t="n">
        <v>0</v>
      </c>
      <c r="N189" t="n">
        <v>0</v>
      </c>
      <c r="O189" t="n">
        <v>0</v>
      </c>
      <c r="P189" t="n">
        <v>0</v>
      </c>
      <c r="Q189" t="n">
        <v>0</v>
      </c>
      <c r="R189" t="n">
        <v>0</v>
      </c>
      <c r="S189" t="n">
        <v>0</v>
      </c>
      <c r="T189" t="n">
        <v>0</v>
      </c>
      <c r="U189" s="2" t="inlineStr"/>
    </row>
    <row r="190" ht="15" customHeight="1">
      <c r="A190" t="inlineStr">
        <is>
          <t>A 36453-2024</t>
        </is>
      </c>
      <c r="B190" t="inlineStr">
        <is>
          <t>avverkningsanmälan</t>
        </is>
      </c>
      <c r="C190" t="inlineStr">
        <is>
          <t>Avverkning för att bevara och utveckla /försöksver</t>
        </is>
      </c>
      <c r="D190" s="1" t="n">
        <v>45537</v>
      </c>
      <c r="E190" s="1" t="n">
        <v>46218</v>
      </c>
      <c r="F190" t="inlineStr">
        <is>
          <t>ÖSTERGÖTLANDS LÄN</t>
        </is>
      </c>
      <c r="G190" t="inlineStr">
        <is>
          <t>BOXHOLM</t>
        </is>
      </c>
      <c r="H190" t="inlineStr">
        <is>
          <t>Övriga Aktiebolag</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15476-2023</t>
        </is>
      </c>
      <c r="B191" t="inlineStr">
        <is>
          <t>avverkningsanmälan</t>
        </is>
      </c>
      <c r="C191" t="inlineStr">
        <is>
          <t>Föryngringsavverkning</t>
        </is>
      </c>
      <c r="D191" s="1" t="n">
        <v>45020</v>
      </c>
      <c r="E191" s="1" t="n">
        <v>46218</v>
      </c>
      <c r="F191" t="inlineStr">
        <is>
          <t>ÖSTERGÖTLANDS LÄN</t>
        </is>
      </c>
      <c r="G191" t="inlineStr">
        <is>
          <t>BOXHOLM</t>
        </is>
      </c>
      <c r="I191" t="n">
        <v>0</v>
      </c>
      <c r="J191" t="n">
        <v>0</v>
      </c>
      <c r="K191" t="n">
        <v>0</v>
      </c>
      <c r="L191" t="n">
        <v>0</v>
      </c>
      <c r="M191" t="n">
        <v>0</v>
      </c>
      <c r="N191" t="n">
        <v>0</v>
      </c>
      <c r="O191" t="n">
        <v>0</v>
      </c>
      <c r="P191" t="n">
        <v>0</v>
      </c>
      <c r="Q191" t="n">
        <v>0</v>
      </c>
      <c r="R191" t="n">
        <v>0</v>
      </c>
      <c r="S191" t="n">
        <v>0</v>
      </c>
      <c r="T191" t="n">
        <v>0</v>
      </c>
      <c r="U191" s="2" t="inlineStr"/>
    </row>
    <row r="192" ht="15" customHeight="1">
      <c r="A192" t="inlineStr">
        <is>
          <t>A 15504-2023</t>
        </is>
      </c>
      <c r="B192" t="inlineStr">
        <is>
          <t>avverkningsanmälan</t>
        </is>
      </c>
      <c r="C192" t="inlineStr">
        <is>
          <t>Föryngringsavverkning</t>
        </is>
      </c>
      <c r="D192" s="1" t="n">
        <v>45020</v>
      </c>
      <c r="E192" s="1" t="n">
        <v>46218</v>
      </c>
      <c r="F192" t="inlineStr">
        <is>
          <t>ÖSTERGÖTLANDS LÄN</t>
        </is>
      </c>
      <c r="G192" t="inlineStr">
        <is>
          <t>BOXHOLM</t>
        </is>
      </c>
      <c r="I192" t="n">
        <v>2.1</v>
      </c>
      <c r="J192" t="n">
        <v>0</v>
      </c>
      <c r="K192" t="n">
        <v>0</v>
      </c>
      <c r="L192" t="n">
        <v>0</v>
      </c>
      <c r="M192" t="n">
        <v>0</v>
      </c>
      <c r="N192" t="n">
        <v>0</v>
      </c>
      <c r="O192" t="n">
        <v>0</v>
      </c>
      <c r="P192" t="n">
        <v>0</v>
      </c>
      <c r="Q192" t="n">
        <v>0</v>
      </c>
      <c r="R192" t="n">
        <v>0</v>
      </c>
      <c r="S192" t="n">
        <v>0</v>
      </c>
      <c r="T192" t="n">
        <v>0</v>
      </c>
      <c r="U192" s="2" t="inlineStr"/>
    </row>
    <row r="193" ht="15" customHeight="1">
      <c r="A193" t="inlineStr">
        <is>
          <t>A 61066-2021</t>
        </is>
      </c>
      <c r="B193" t="inlineStr">
        <is>
          <t>avverkningsanmälan</t>
        </is>
      </c>
      <c r="C193" t="inlineStr">
        <is>
          <t>Föryngringsavverkning</t>
        </is>
      </c>
      <c r="D193" s="1" t="n">
        <v>44497</v>
      </c>
      <c r="E193" s="1" t="n">
        <v>46218</v>
      </c>
      <c r="F193" t="inlineStr">
        <is>
          <t>ÖSTERGÖTLANDS LÄN</t>
        </is>
      </c>
      <c r="G193" t="inlineStr">
        <is>
          <t>BOXHOLM</t>
        </is>
      </c>
      <c r="I193" t="n">
        <v>6.9</v>
      </c>
      <c r="J193" t="n">
        <v>0</v>
      </c>
      <c r="K193" t="n">
        <v>0</v>
      </c>
      <c r="L193" t="n">
        <v>0</v>
      </c>
      <c r="M193" t="n">
        <v>0</v>
      </c>
      <c r="N193" t="n">
        <v>0</v>
      </c>
      <c r="O193" t="n">
        <v>0</v>
      </c>
      <c r="P193" t="n">
        <v>0</v>
      </c>
      <c r="Q193" t="n">
        <v>0</v>
      </c>
      <c r="R193" t="n">
        <v>0</v>
      </c>
      <c r="S193" t="n">
        <v>0</v>
      </c>
      <c r="T193" t="n">
        <v>0</v>
      </c>
      <c r="U193" s="2" t="inlineStr"/>
    </row>
    <row r="194" ht="15" customHeight="1">
      <c r="A194" t="inlineStr">
        <is>
          <t>A 37551-2025</t>
        </is>
      </c>
      <c r="B194" t="inlineStr">
        <is>
          <t>avverkningsanmälan</t>
        </is>
      </c>
      <c r="C194" t="inlineStr">
        <is>
          <t>Föryngringsavverkning</t>
        </is>
      </c>
      <c r="D194" s="1" t="n">
        <v>45880</v>
      </c>
      <c r="E194" s="1" t="n">
        <v>46218</v>
      </c>
      <c r="F194" t="inlineStr">
        <is>
          <t>ÖSTERGÖTLANDS LÄN</t>
        </is>
      </c>
      <c r="G194" t="inlineStr">
        <is>
          <t>BOXHOLM</t>
        </is>
      </c>
      <c r="H194" t="inlineStr">
        <is>
          <t>Övriga Aktiebolag</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37477-2025</t>
        </is>
      </c>
      <c r="B195" t="inlineStr">
        <is>
          <t>avverkningsanmälan</t>
        </is>
      </c>
      <c r="C195" t="inlineStr">
        <is>
          <t>Avverkning för att bevara och utveckla /försöksver</t>
        </is>
      </c>
      <c r="D195" s="1" t="n">
        <v>45877</v>
      </c>
      <c r="E195" s="1" t="n">
        <v>46218</v>
      </c>
      <c r="F195" t="inlineStr">
        <is>
          <t>ÖSTERGÖTLANDS LÄN</t>
        </is>
      </c>
      <c r="G195" t="inlineStr">
        <is>
          <t>BOXHOLM</t>
        </is>
      </c>
      <c r="H195" t="inlineStr">
        <is>
          <t>Övriga Aktiebolag</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37474-2025</t>
        </is>
      </c>
      <c r="B196" t="inlineStr">
        <is>
          <t>avverkningsanmälan</t>
        </is>
      </c>
      <c r="C196" t="inlineStr">
        <is>
          <t>Föryngringsavverkning</t>
        </is>
      </c>
      <c r="D196" s="1" t="n">
        <v>45877</v>
      </c>
      <c r="E196" s="1" t="n">
        <v>46218</v>
      </c>
      <c r="F196" t="inlineStr">
        <is>
          <t>ÖSTERGÖTLANDS LÄN</t>
        </is>
      </c>
      <c r="G196" t="inlineStr">
        <is>
          <t>BOXHOLM</t>
        </is>
      </c>
      <c r="H196" t="inlineStr">
        <is>
          <t>Övriga Aktiebolag</t>
        </is>
      </c>
      <c r="I196" t="n">
        <v>3.1</v>
      </c>
      <c r="J196" t="n">
        <v>0</v>
      </c>
      <c r="K196" t="n">
        <v>0</v>
      </c>
      <c r="L196" t="n">
        <v>0</v>
      </c>
      <c r="M196" t="n">
        <v>0</v>
      </c>
      <c r="N196" t="n">
        <v>0</v>
      </c>
      <c r="O196" t="n">
        <v>0</v>
      </c>
      <c r="P196" t="n">
        <v>0</v>
      </c>
      <c r="Q196" t="n">
        <v>0</v>
      </c>
      <c r="R196" t="n">
        <v>0</v>
      </c>
      <c r="S196" t="n">
        <v>0</v>
      </c>
      <c r="T196" t="n">
        <v>0</v>
      </c>
      <c r="U196" s="2" t="inlineStr"/>
    </row>
    <row r="197" ht="15" customHeight="1">
      <c r="A197" t="inlineStr">
        <is>
          <t>A 54530-2025</t>
        </is>
      </c>
      <c r="B197" t="inlineStr">
        <is>
          <t>avverkningsanmälan</t>
        </is>
      </c>
      <c r="C197" t="inlineStr">
        <is>
          <t>Föryngringsavverkning</t>
        </is>
      </c>
      <c r="D197" s="1" t="n">
        <v>45965</v>
      </c>
      <c r="E197" s="1" t="n">
        <v>46218</v>
      </c>
      <c r="F197" t="inlineStr">
        <is>
          <t>ÖSTERGÖTLANDS LÄN</t>
        </is>
      </c>
      <c r="G197" t="inlineStr">
        <is>
          <t>BOXHOLM</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41080-2024</t>
        </is>
      </c>
      <c r="B198" t="inlineStr">
        <is>
          <t>avverkningsanmälan</t>
        </is>
      </c>
      <c r="C198" t="inlineStr">
        <is>
          <t>Föryngringsavverkning</t>
        </is>
      </c>
      <c r="D198" s="1" t="n">
        <v>45559</v>
      </c>
      <c r="E198" s="1" t="n">
        <v>46218</v>
      </c>
      <c r="F198" t="inlineStr">
        <is>
          <t>ÖSTERGÖTLANDS LÄN</t>
        </is>
      </c>
      <c r="G198" t="inlineStr">
        <is>
          <t>BOXHOLM</t>
        </is>
      </c>
      <c r="H198" t="inlineStr">
        <is>
          <t>Allmännings- och besparingsskogar</t>
        </is>
      </c>
      <c r="I198" t="n">
        <v>7</v>
      </c>
      <c r="J198" t="n">
        <v>0</v>
      </c>
      <c r="K198" t="n">
        <v>0</v>
      </c>
      <c r="L198" t="n">
        <v>0</v>
      </c>
      <c r="M198" t="n">
        <v>0</v>
      </c>
      <c r="N198" t="n">
        <v>0</v>
      </c>
      <c r="O198" t="n">
        <v>0</v>
      </c>
      <c r="P198" t="n">
        <v>0</v>
      </c>
      <c r="Q198" t="n">
        <v>0</v>
      </c>
      <c r="R198" t="n">
        <v>0</v>
      </c>
      <c r="S198" t="n">
        <v>0</v>
      </c>
      <c r="T198" t="n">
        <v>0</v>
      </c>
      <c r="U198" s="2" t="inlineStr"/>
    </row>
    <row r="199" ht="15" customHeight="1">
      <c r="A199" t="inlineStr">
        <is>
          <t>A 24122-2023</t>
        </is>
      </c>
      <c r="B199" t="inlineStr">
        <is>
          <t>avverkningsanmälan</t>
        </is>
      </c>
      <c r="C199" t="inlineStr">
        <is>
          <t>Föryngringsavverkning</t>
        </is>
      </c>
      <c r="D199" s="1" t="n">
        <v>45079</v>
      </c>
      <c r="E199" s="1" t="n">
        <v>46218</v>
      </c>
      <c r="F199" t="inlineStr">
        <is>
          <t>ÖSTERGÖTLANDS LÄN</t>
        </is>
      </c>
      <c r="G199" t="inlineStr">
        <is>
          <t>BOXHOLM</t>
        </is>
      </c>
      <c r="I199" t="n">
        <v>3.7</v>
      </c>
      <c r="J199" t="n">
        <v>0</v>
      </c>
      <c r="K199" t="n">
        <v>0</v>
      </c>
      <c r="L199" t="n">
        <v>0</v>
      </c>
      <c r="M199" t="n">
        <v>0</v>
      </c>
      <c r="N199" t="n">
        <v>0</v>
      </c>
      <c r="O199" t="n">
        <v>0</v>
      </c>
      <c r="P199" t="n">
        <v>0</v>
      </c>
      <c r="Q199" t="n">
        <v>0</v>
      </c>
      <c r="R199" t="n">
        <v>0</v>
      </c>
      <c r="S199" t="n">
        <v>0</v>
      </c>
      <c r="T199" t="n">
        <v>0</v>
      </c>
      <c r="U199" s="2" t="inlineStr"/>
    </row>
    <row r="200" ht="15" customHeight="1">
      <c r="A200" t="inlineStr">
        <is>
          <t>A 54521-2025</t>
        </is>
      </c>
      <c r="B200" t="inlineStr">
        <is>
          <t>avverkningsanmälan</t>
        </is>
      </c>
      <c r="C200" t="inlineStr">
        <is>
          <t>Föryngringsavverkning</t>
        </is>
      </c>
      <c r="D200" s="1" t="n">
        <v>45965</v>
      </c>
      <c r="E200" s="1" t="n">
        <v>46218</v>
      </c>
      <c r="F200" t="inlineStr">
        <is>
          <t>ÖSTERGÖTLANDS LÄN</t>
        </is>
      </c>
      <c r="G200" t="inlineStr">
        <is>
          <t>BOXHOLM</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54547-2025</t>
        </is>
      </c>
      <c r="B201" t="inlineStr">
        <is>
          <t>avverkningsanmälan</t>
        </is>
      </c>
      <c r="C201" t="inlineStr">
        <is>
          <t>Föryngringsavverkning</t>
        </is>
      </c>
      <c r="D201" s="1" t="n">
        <v>45965</v>
      </c>
      <c r="E201" s="1" t="n">
        <v>46218</v>
      </c>
      <c r="F201" t="inlineStr">
        <is>
          <t>ÖSTERGÖTLANDS LÄN</t>
        </is>
      </c>
      <c r="G201" t="inlineStr">
        <is>
          <t>BOXHOLM</t>
        </is>
      </c>
      <c r="I201" t="n">
        <v>0.7</v>
      </c>
      <c r="J201" t="n">
        <v>0</v>
      </c>
      <c r="K201" t="n">
        <v>0</v>
      </c>
      <c r="L201" t="n">
        <v>0</v>
      </c>
      <c r="M201" t="n">
        <v>0</v>
      </c>
      <c r="N201" t="n">
        <v>0</v>
      </c>
      <c r="O201" t="n">
        <v>0</v>
      </c>
      <c r="P201" t="n">
        <v>0</v>
      </c>
      <c r="Q201" t="n">
        <v>0</v>
      </c>
      <c r="R201" t="n">
        <v>0</v>
      </c>
      <c r="S201" t="n">
        <v>0</v>
      </c>
      <c r="T201" t="n">
        <v>0</v>
      </c>
      <c r="U201" s="2" t="inlineStr"/>
    </row>
    <row r="202" ht="15" customHeight="1">
      <c r="A202" t="inlineStr">
        <is>
          <t>A 4190-2024</t>
        </is>
      </c>
      <c r="B202" t="inlineStr">
        <is>
          <t>avverkningsanmälan</t>
        </is>
      </c>
      <c r="C202" t="inlineStr">
        <is>
          <t>Föryngringsavverkning</t>
        </is>
      </c>
      <c r="D202" s="1" t="n">
        <v>45324</v>
      </c>
      <c r="E202" s="1" t="n">
        <v>46218</v>
      </c>
      <c r="F202" t="inlineStr">
        <is>
          <t>ÖSTERGÖTLANDS LÄN</t>
        </is>
      </c>
      <c r="G202" t="inlineStr">
        <is>
          <t>BOXHOLM</t>
        </is>
      </c>
      <c r="H202" t="inlineStr">
        <is>
          <t>Övriga Aktiebolag</t>
        </is>
      </c>
      <c r="I202" t="n">
        <v>0.7</v>
      </c>
      <c r="J202" t="n">
        <v>0</v>
      </c>
      <c r="K202" t="n">
        <v>0</v>
      </c>
      <c r="L202" t="n">
        <v>0</v>
      </c>
      <c r="M202" t="n">
        <v>0</v>
      </c>
      <c r="N202" t="n">
        <v>0</v>
      </c>
      <c r="O202" t="n">
        <v>0</v>
      </c>
      <c r="P202" t="n">
        <v>0</v>
      </c>
      <c r="Q202" t="n">
        <v>0</v>
      </c>
      <c r="R202" t="n">
        <v>0</v>
      </c>
      <c r="S202" t="n">
        <v>0</v>
      </c>
      <c r="T202" t="n">
        <v>0</v>
      </c>
      <c r="U202" s="2" t="inlineStr"/>
    </row>
    <row r="203" ht="15" customHeight="1">
      <c r="A203" t="inlineStr">
        <is>
          <t>A 39486-2024</t>
        </is>
      </c>
      <c r="B203" t="inlineStr">
        <is>
          <t>avverkningsanmälan</t>
        </is>
      </c>
      <c r="C203" t="inlineStr">
        <is>
          <t>Föryngringsavverkning</t>
        </is>
      </c>
      <c r="D203" s="1" t="n">
        <v>45551</v>
      </c>
      <c r="E203" s="1" t="n">
        <v>46218</v>
      </c>
      <c r="F203" t="inlineStr">
        <is>
          <t>ÖSTERGÖTLANDS LÄN</t>
        </is>
      </c>
      <c r="G203" t="inlineStr">
        <is>
          <t>BOXHOLM</t>
        </is>
      </c>
      <c r="H203" t="inlineStr">
        <is>
          <t>Allmännings- och besparingsskogar</t>
        </is>
      </c>
      <c r="I203" t="n">
        <v>6</v>
      </c>
      <c r="J203" t="n">
        <v>0</v>
      </c>
      <c r="K203" t="n">
        <v>0</v>
      </c>
      <c r="L203" t="n">
        <v>0</v>
      </c>
      <c r="M203" t="n">
        <v>0</v>
      </c>
      <c r="N203" t="n">
        <v>0</v>
      </c>
      <c r="O203" t="n">
        <v>0</v>
      </c>
      <c r="P203" t="n">
        <v>0</v>
      </c>
      <c r="Q203" t="n">
        <v>0</v>
      </c>
      <c r="R203" t="n">
        <v>0</v>
      </c>
      <c r="S203" t="n">
        <v>0</v>
      </c>
      <c r="T203" t="n">
        <v>0</v>
      </c>
      <c r="U203" s="2" t="inlineStr"/>
    </row>
    <row r="204" ht="15" customHeight="1">
      <c r="A204" t="inlineStr">
        <is>
          <t>A 54465-2025</t>
        </is>
      </c>
      <c r="B204" t="inlineStr">
        <is>
          <t>avverkningsanmälan</t>
        </is>
      </c>
      <c r="C204" t="inlineStr">
        <is>
          <t>Föryngringsavverkning</t>
        </is>
      </c>
      <c r="D204" s="1" t="n">
        <v>45965</v>
      </c>
      <c r="E204" s="1" t="n">
        <v>46218</v>
      </c>
      <c r="F204" t="inlineStr">
        <is>
          <t>ÖSTERGÖTLANDS LÄN</t>
        </is>
      </c>
      <c r="G204" t="inlineStr">
        <is>
          <t>BOXHOLM</t>
        </is>
      </c>
      <c r="I204" t="n">
        <v>1.4</v>
      </c>
      <c r="J204" t="n">
        <v>0</v>
      </c>
      <c r="K204" t="n">
        <v>0</v>
      </c>
      <c r="L204" t="n">
        <v>0</v>
      </c>
      <c r="M204" t="n">
        <v>0</v>
      </c>
      <c r="N204" t="n">
        <v>0</v>
      </c>
      <c r="O204" t="n">
        <v>0</v>
      </c>
      <c r="P204" t="n">
        <v>0</v>
      </c>
      <c r="Q204" t="n">
        <v>0</v>
      </c>
      <c r="R204" t="n">
        <v>0</v>
      </c>
      <c r="S204" t="n">
        <v>0</v>
      </c>
      <c r="T204" t="n">
        <v>0</v>
      </c>
      <c r="U204" s="2" t="inlineStr"/>
    </row>
    <row r="205" ht="15" customHeight="1">
      <c r="A205" t="inlineStr">
        <is>
          <t>A 54540-2025</t>
        </is>
      </c>
      <c r="B205" t="inlineStr">
        <is>
          <t>avverkningsanmälan</t>
        </is>
      </c>
      <c r="C205" t="inlineStr">
        <is>
          <t>Föryngringsavverkning</t>
        </is>
      </c>
      <c r="D205" s="1" t="n">
        <v>45965</v>
      </c>
      <c r="E205" s="1" t="n">
        <v>46218</v>
      </c>
      <c r="F205" t="inlineStr">
        <is>
          <t>ÖSTERGÖTLANDS LÄN</t>
        </is>
      </c>
      <c r="G205" t="inlineStr">
        <is>
          <t>BOXHOLM</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21151-2023</t>
        </is>
      </c>
      <c r="B206" t="inlineStr">
        <is>
          <t>avverkningsanmälan</t>
        </is>
      </c>
      <c r="C206" t="inlineStr">
        <is>
          <t>Föryngringsavverkning</t>
        </is>
      </c>
      <c r="D206" s="1" t="n">
        <v>45062</v>
      </c>
      <c r="E206" s="1" t="n">
        <v>46218</v>
      </c>
      <c r="F206" t="inlineStr">
        <is>
          <t>ÖSTERGÖTLANDS LÄN</t>
        </is>
      </c>
      <c r="G206" t="inlineStr">
        <is>
          <t>BOXHOLM</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25230-2023</t>
        </is>
      </c>
      <c r="B207" t="inlineStr">
        <is>
          <t>avverkningsanmälan</t>
        </is>
      </c>
      <c r="C207" t="inlineStr">
        <is>
          <t>Föryngringsavverkning</t>
        </is>
      </c>
      <c r="D207" s="1" t="n">
        <v>45086</v>
      </c>
      <c r="E207" s="1" t="n">
        <v>46218</v>
      </c>
      <c r="F207" t="inlineStr">
        <is>
          <t>ÖSTERGÖTLANDS LÄN</t>
        </is>
      </c>
      <c r="G207" t="inlineStr">
        <is>
          <t>BOXHOLM</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24582-2025</t>
        </is>
      </c>
      <c r="B208" t="inlineStr">
        <is>
          <t>avverkningsanmälan</t>
        </is>
      </c>
      <c r="C208" t="inlineStr">
        <is>
          <t>Föryngringsavverkning</t>
        </is>
      </c>
      <c r="D208" s="1" t="n">
        <v>45797</v>
      </c>
      <c r="E208" s="1" t="n">
        <v>46218</v>
      </c>
      <c r="F208" t="inlineStr">
        <is>
          <t>ÖSTERGÖTLANDS LÄN</t>
        </is>
      </c>
      <c r="G208" t="inlineStr">
        <is>
          <t>BOXHOLM</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10315-2025</t>
        </is>
      </c>
      <c r="B209" t="inlineStr">
        <is>
          <t>avverkningsanmälan</t>
        </is>
      </c>
      <c r="C209" t="inlineStr">
        <is>
          <t>Föryngringsavverkning</t>
        </is>
      </c>
      <c r="D209" s="1" t="n">
        <v>45720</v>
      </c>
      <c r="E209" s="1" t="n">
        <v>46218</v>
      </c>
      <c r="F209" t="inlineStr">
        <is>
          <t>ÖSTERGÖTLANDS LÄN</t>
        </is>
      </c>
      <c r="G209" t="inlineStr">
        <is>
          <t>BOXHOLM</t>
        </is>
      </c>
      <c r="I209" t="n">
        <v>2.7</v>
      </c>
      <c r="J209" t="n">
        <v>0</v>
      </c>
      <c r="K209" t="n">
        <v>0</v>
      </c>
      <c r="L209" t="n">
        <v>0</v>
      </c>
      <c r="M209" t="n">
        <v>0</v>
      </c>
      <c r="N209" t="n">
        <v>0</v>
      </c>
      <c r="O209" t="n">
        <v>0</v>
      </c>
      <c r="P209" t="n">
        <v>0</v>
      </c>
      <c r="Q209" t="n">
        <v>0</v>
      </c>
      <c r="R209" t="n">
        <v>0</v>
      </c>
      <c r="S209" t="n">
        <v>0</v>
      </c>
      <c r="T209" t="n">
        <v>0</v>
      </c>
      <c r="U209" s="2" t="inlineStr"/>
    </row>
    <row r="210" ht="15" customHeight="1">
      <c r="A210" t="inlineStr">
        <is>
          <t>A 24325-2025</t>
        </is>
      </c>
      <c r="B210" t="inlineStr">
        <is>
          <t>avverkningsanmälan</t>
        </is>
      </c>
      <c r="C210" t="inlineStr">
        <is>
          <t>Föryngringsavverkning</t>
        </is>
      </c>
      <c r="D210" s="1" t="n">
        <v>45797</v>
      </c>
      <c r="E210" s="1" t="n">
        <v>46218</v>
      </c>
      <c r="F210" t="inlineStr">
        <is>
          <t>ÖSTERGÖTLANDS LÄN</t>
        </is>
      </c>
      <c r="G210" t="inlineStr">
        <is>
          <t>BOXHOLM</t>
        </is>
      </c>
      <c r="I210" t="n">
        <v>3.6</v>
      </c>
      <c r="J210" t="n">
        <v>0</v>
      </c>
      <c r="K210" t="n">
        <v>0</v>
      </c>
      <c r="L210" t="n">
        <v>0</v>
      </c>
      <c r="M210" t="n">
        <v>0</v>
      </c>
      <c r="N210" t="n">
        <v>0</v>
      </c>
      <c r="O210" t="n">
        <v>0</v>
      </c>
      <c r="P210" t="n">
        <v>0</v>
      </c>
      <c r="Q210" t="n">
        <v>0</v>
      </c>
      <c r="R210" t="n">
        <v>0</v>
      </c>
      <c r="S210" t="n">
        <v>0</v>
      </c>
      <c r="T210" t="n">
        <v>0</v>
      </c>
      <c r="U210" s="2" t="inlineStr"/>
    </row>
    <row r="211" ht="15" customHeight="1">
      <c r="A211" t="inlineStr">
        <is>
          <t>A 35345-2023</t>
        </is>
      </c>
      <c r="B211" t="inlineStr">
        <is>
          <t>avverkningsanmälan</t>
        </is>
      </c>
      <c r="C211" t="inlineStr">
        <is>
          <t>Föryngringsavverkning</t>
        </is>
      </c>
      <c r="D211" s="1" t="n">
        <v>45146</v>
      </c>
      <c r="E211" s="1" t="n">
        <v>46218</v>
      </c>
      <c r="F211" t="inlineStr">
        <is>
          <t>ÖSTERGÖTLANDS LÄN</t>
        </is>
      </c>
      <c r="G211" t="inlineStr">
        <is>
          <t>BOXHOLM</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60797-2023</t>
        </is>
      </c>
      <c r="B212" t="inlineStr">
        <is>
          <t>avverkningsanmälan</t>
        </is>
      </c>
      <c r="C212" t="inlineStr">
        <is>
          <t>Föryngringsavverkning</t>
        </is>
      </c>
      <c r="D212" s="1" t="n">
        <v>45259</v>
      </c>
      <c r="E212" s="1" t="n">
        <v>46218</v>
      </c>
      <c r="F212" t="inlineStr">
        <is>
          <t>ÖSTERGÖTLANDS LÄN</t>
        </is>
      </c>
      <c r="G212" t="inlineStr">
        <is>
          <t>BOXHOLM</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6239-2025</t>
        </is>
      </c>
      <c r="B213" t="inlineStr">
        <is>
          <t>avverkningsanmälan</t>
        </is>
      </c>
      <c r="C213" t="inlineStr">
        <is>
          <t>Föryngringsavverkning</t>
        </is>
      </c>
      <c r="D213" s="1" t="n">
        <v>45698</v>
      </c>
      <c r="E213" s="1" t="n">
        <v>46218</v>
      </c>
      <c r="F213" t="inlineStr">
        <is>
          <t>ÖSTERGÖTLANDS LÄN</t>
        </is>
      </c>
      <c r="G213" t="inlineStr">
        <is>
          <t>BOXHOLM</t>
        </is>
      </c>
      <c r="H213" t="inlineStr">
        <is>
          <t>Övriga Aktiebolag</t>
        </is>
      </c>
      <c r="I213" t="n">
        <v>3.7</v>
      </c>
      <c r="J213" t="n">
        <v>0</v>
      </c>
      <c r="K213" t="n">
        <v>0</v>
      </c>
      <c r="L213" t="n">
        <v>0</v>
      </c>
      <c r="M213" t="n">
        <v>0</v>
      </c>
      <c r="N213" t="n">
        <v>0</v>
      </c>
      <c r="O213" t="n">
        <v>0</v>
      </c>
      <c r="P213" t="n">
        <v>0</v>
      </c>
      <c r="Q213" t="n">
        <v>0</v>
      </c>
      <c r="R213" t="n">
        <v>0</v>
      </c>
      <c r="S213" t="n">
        <v>0</v>
      </c>
      <c r="T213" t="n">
        <v>0</v>
      </c>
      <c r="U213" s="2" t="inlineStr"/>
    </row>
    <row r="214" ht="15" customHeight="1">
      <c r="A214" t="inlineStr">
        <is>
          <t>A 25937-2024</t>
        </is>
      </c>
      <c r="B214" t="inlineStr">
        <is>
          <t>avverkningsanmälan</t>
        </is>
      </c>
      <c r="C214" t="inlineStr">
        <is>
          <t>Föryngringsavverkning</t>
        </is>
      </c>
      <c r="D214" s="1" t="n">
        <v>45467</v>
      </c>
      <c r="E214" s="1" t="n">
        <v>46218</v>
      </c>
      <c r="F214" t="inlineStr">
        <is>
          <t>ÖSTERGÖTLANDS LÄN</t>
        </is>
      </c>
      <c r="G214" t="inlineStr">
        <is>
          <t>BOXHOLM</t>
        </is>
      </c>
      <c r="I214" t="n">
        <v>10</v>
      </c>
      <c r="J214" t="n">
        <v>0</v>
      </c>
      <c r="K214" t="n">
        <v>0</v>
      </c>
      <c r="L214" t="n">
        <v>0</v>
      </c>
      <c r="M214" t="n">
        <v>0</v>
      </c>
      <c r="N214" t="n">
        <v>0</v>
      </c>
      <c r="O214" t="n">
        <v>0</v>
      </c>
      <c r="P214" t="n">
        <v>0</v>
      </c>
      <c r="Q214" t="n">
        <v>0</v>
      </c>
      <c r="R214" t="n">
        <v>0</v>
      </c>
      <c r="S214" t="n">
        <v>0</v>
      </c>
      <c r="T214" t="n">
        <v>0</v>
      </c>
      <c r="U214" s="2" t="inlineStr"/>
    </row>
    <row r="215" ht="15" customHeight="1">
      <c r="A215" t="inlineStr">
        <is>
          <t>A 51359-2024</t>
        </is>
      </c>
      <c r="B215" t="inlineStr">
        <is>
          <t>avverkningsanmälan</t>
        </is>
      </c>
      <c r="C215" t="inlineStr">
        <is>
          <t>Föryngringsavverkning</t>
        </is>
      </c>
      <c r="D215" s="1" t="n">
        <v>45604</v>
      </c>
      <c r="E215" s="1" t="n">
        <v>46218</v>
      </c>
      <c r="F215" t="inlineStr">
        <is>
          <t>ÖSTERGÖTLANDS LÄN</t>
        </is>
      </c>
      <c r="G215" t="inlineStr">
        <is>
          <t>BOXHOLM</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35091-2023</t>
        </is>
      </c>
      <c r="B216" t="inlineStr">
        <is>
          <t>avverkningsanmälan</t>
        </is>
      </c>
      <c r="C216" t="inlineStr">
        <is>
          <t>Föryngringsavverkning</t>
        </is>
      </c>
      <c r="D216" s="1" t="n">
        <v>45145</v>
      </c>
      <c r="E216" s="1" t="n">
        <v>46218</v>
      </c>
      <c r="F216" t="inlineStr">
        <is>
          <t>ÖSTERGÖTLANDS LÄN</t>
        </is>
      </c>
      <c r="G216" t="inlineStr">
        <is>
          <t>BOXHOLM</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23857-2023</t>
        </is>
      </c>
      <c r="B217" t="inlineStr">
        <is>
          <t>avverkningsanmälan</t>
        </is>
      </c>
      <c r="C217" t="inlineStr">
        <is>
          <t>Föryngringsavverkning</t>
        </is>
      </c>
      <c r="D217" s="1" t="n">
        <v>45078</v>
      </c>
      <c r="E217" s="1" t="n">
        <v>46218</v>
      </c>
      <c r="F217" t="inlineStr">
        <is>
          <t>ÖSTERGÖTLANDS LÄN</t>
        </is>
      </c>
      <c r="G217" t="inlineStr">
        <is>
          <t>BOXHOLM</t>
        </is>
      </c>
      <c r="H217" t="inlineStr">
        <is>
          <t>Övriga Aktiebolag</t>
        </is>
      </c>
      <c r="I217" t="n">
        <v>2.4</v>
      </c>
      <c r="J217" t="n">
        <v>0</v>
      </c>
      <c r="K217" t="n">
        <v>0</v>
      </c>
      <c r="L217" t="n">
        <v>0</v>
      </c>
      <c r="M217" t="n">
        <v>0</v>
      </c>
      <c r="N217" t="n">
        <v>0</v>
      </c>
      <c r="O217" t="n">
        <v>0</v>
      </c>
      <c r="P217" t="n">
        <v>0</v>
      </c>
      <c r="Q217" t="n">
        <v>0</v>
      </c>
      <c r="R217" t="n">
        <v>0</v>
      </c>
      <c r="S217" t="n">
        <v>0</v>
      </c>
      <c r="T217" t="n">
        <v>0</v>
      </c>
      <c r="U217" s="2" t="inlineStr"/>
    </row>
    <row r="218" ht="15" customHeight="1">
      <c r="A218" t="inlineStr">
        <is>
          <t>A 53342-2024</t>
        </is>
      </c>
      <c r="B218" t="inlineStr">
        <is>
          <t>avverkningsanmälan</t>
        </is>
      </c>
      <c r="C218" t="inlineStr">
        <is>
          <t>Föryngringsavverkning</t>
        </is>
      </c>
      <c r="D218" s="1" t="n">
        <v>45614</v>
      </c>
      <c r="E218" s="1" t="n">
        <v>46218</v>
      </c>
      <c r="F218" t="inlineStr">
        <is>
          <t>ÖSTERGÖTLANDS LÄN</t>
        </is>
      </c>
      <c r="G218" t="inlineStr">
        <is>
          <t>BOXHOLM</t>
        </is>
      </c>
      <c r="H218" t="inlineStr">
        <is>
          <t>Övriga Aktiebolag</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25944-2024</t>
        </is>
      </c>
      <c r="B219" t="inlineStr">
        <is>
          <t>avverkningsanmälan</t>
        </is>
      </c>
      <c r="C219" t="inlineStr">
        <is>
          <t>Föryngringsavverkning</t>
        </is>
      </c>
      <c r="D219" s="1" t="n">
        <v>45467</v>
      </c>
      <c r="E219" s="1" t="n">
        <v>46218</v>
      </c>
      <c r="F219" t="inlineStr">
        <is>
          <t>ÖSTERGÖTLANDS LÄN</t>
        </is>
      </c>
      <c r="G219" t="inlineStr">
        <is>
          <t>BOXHOLM</t>
        </is>
      </c>
      <c r="I219" t="n">
        <v>7.1</v>
      </c>
      <c r="J219" t="n">
        <v>0</v>
      </c>
      <c r="K219" t="n">
        <v>0</v>
      </c>
      <c r="L219" t="n">
        <v>0</v>
      </c>
      <c r="M219" t="n">
        <v>0</v>
      </c>
      <c r="N219" t="n">
        <v>0</v>
      </c>
      <c r="O219" t="n">
        <v>0</v>
      </c>
      <c r="P219" t="n">
        <v>0</v>
      </c>
      <c r="Q219" t="n">
        <v>0</v>
      </c>
      <c r="R219" t="n">
        <v>0</v>
      </c>
      <c r="S219" t="n">
        <v>0</v>
      </c>
      <c r="T219" t="n">
        <v>0</v>
      </c>
      <c r="U219" s="2" t="inlineStr"/>
    </row>
    <row r="220" ht="15" customHeight="1">
      <c r="A220" t="inlineStr">
        <is>
          <t>A 26643-2025</t>
        </is>
      </c>
      <c r="B220" t="inlineStr">
        <is>
          <t>avverkningsanmälan</t>
        </is>
      </c>
      <c r="C220" t="inlineStr">
        <is>
          <t>Föryngringsavverkning</t>
        </is>
      </c>
      <c r="D220" s="1" t="n">
        <v>45809</v>
      </c>
      <c r="E220" s="1" t="n">
        <v>46218</v>
      </c>
      <c r="F220" t="inlineStr">
        <is>
          <t>ÖSTERGÖTLANDS LÄN</t>
        </is>
      </c>
      <c r="G220" t="inlineStr">
        <is>
          <t>BOXHOLM</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15420-2025</t>
        </is>
      </c>
      <c r="B221" t="inlineStr">
        <is>
          <t>avverkningsanmälan</t>
        </is>
      </c>
      <c r="C221" t="inlineStr">
        <is>
          <t>Avverkning för att bevara och utveckla /försöksver</t>
        </is>
      </c>
      <c r="D221" s="1" t="n">
        <v>45747</v>
      </c>
      <c r="E221" s="1" t="n">
        <v>46218</v>
      </c>
      <c r="F221" t="inlineStr">
        <is>
          <t>ÖSTERGÖTLANDS LÄN</t>
        </is>
      </c>
      <c r="G221" t="inlineStr">
        <is>
          <t>BOXHOLM</t>
        </is>
      </c>
      <c r="H221" t="inlineStr">
        <is>
          <t>Övriga Aktiebolag</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12734-2025</t>
        </is>
      </c>
      <c r="B222" t="inlineStr">
        <is>
          <t>avverkningsanmälan</t>
        </is>
      </c>
      <c r="C222" t="inlineStr">
        <is>
          <t>Föryngringsavverkning</t>
        </is>
      </c>
      <c r="D222" s="1" t="n">
        <v>45733</v>
      </c>
      <c r="E222" s="1" t="n">
        <v>46218</v>
      </c>
      <c r="F222" t="inlineStr">
        <is>
          <t>ÖSTERGÖTLANDS LÄN</t>
        </is>
      </c>
      <c r="G222" t="inlineStr">
        <is>
          <t>BOXHOLM</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14628-2023</t>
        </is>
      </c>
      <c r="B223" t="inlineStr">
        <is>
          <t>avverkningsanmälan</t>
        </is>
      </c>
      <c r="C223" t="inlineStr">
        <is>
          <t>Föryngringsavverkning</t>
        </is>
      </c>
      <c r="D223" s="1" t="n">
        <v>45013</v>
      </c>
      <c r="E223" s="1" t="n">
        <v>46218</v>
      </c>
      <c r="F223" t="inlineStr">
        <is>
          <t>ÖSTERGÖTLANDS LÄN</t>
        </is>
      </c>
      <c r="G223" t="inlineStr">
        <is>
          <t>BOXHOLM</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39029-2023</t>
        </is>
      </c>
      <c r="B224" t="inlineStr">
        <is>
          <t>avverkningsanmälan</t>
        </is>
      </c>
      <c r="C224" t="inlineStr">
        <is>
          <t>Föryngringsavverkning</t>
        </is>
      </c>
      <c r="D224" s="1" t="n">
        <v>45163</v>
      </c>
      <c r="E224" s="1" t="n">
        <v>46218</v>
      </c>
      <c r="F224" t="inlineStr">
        <is>
          <t>ÖSTERGÖTLANDS LÄN</t>
        </is>
      </c>
      <c r="G224" t="inlineStr">
        <is>
          <t>BOXHOLM</t>
        </is>
      </c>
      <c r="H224" t="inlineStr">
        <is>
          <t>Allmännings- och besparingsskogar</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39693-2024</t>
        </is>
      </c>
      <c r="B225" t="inlineStr">
        <is>
          <t>avverkningsanmälan</t>
        </is>
      </c>
      <c r="C225" t="inlineStr">
        <is>
          <t>Föryngringsavverkning</t>
        </is>
      </c>
      <c r="D225" s="1" t="n">
        <v>45552</v>
      </c>
      <c r="E225" s="1" t="n">
        <v>46218</v>
      </c>
      <c r="F225" t="inlineStr">
        <is>
          <t>ÖSTERGÖTLANDS LÄN</t>
        </is>
      </c>
      <c r="G225" t="inlineStr">
        <is>
          <t>BOXHOLM</t>
        </is>
      </c>
      <c r="H225" t="inlineStr">
        <is>
          <t>Allmännings- och besparingsskogar</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57606-2025</t>
        </is>
      </c>
      <c r="B226" t="inlineStr">
        <is>
          <t>avverkningsanmälan</t>
        </is>
      </c>
      <c r="C226" t="inlineStr">
        <is>
          <t>Föryngringsavverkning</t>
        </is>
      </c>
      <c r="D226" s="1" t="n">
        <v>45981</v>
      </c>
      <c r="E226" s="1" t="n">
        <v>46218</v>
      </c>
      <c r="F226" t="inlineStr">
        <is>
          <t>ÖSTERGÖTLANDS LÄN</t>
        </is>
      </c>
      <c r="G226" t="inlineStr">
        <is>
          <t>BOXHOLM</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9115-2023</t>
        </is>
      </c>
      <c r="B227" t="inlineStr">
        <is>
          <t>avverkningsanmälan</t>
        </is>
      </c>
      <c r="C227" t="inlineStr">
        <is>
          <t>Föryngringsavverkning</t>
        </is>
      </c>
      <c r="D227" s="1" t="n">
        <v>44980</v>
      </c>
      <c r="E227" s="1" t="n">
        <v>46218</v>
      </c>
      <c r="F227" t="inlineStr">
        <is>
          <t>ÖSTERGÖTLANDS LÄN</t>
        </is>
      </c>
      <c r="G227" t="inlineStr">
        <is>
          <t>BOXHOLM</t>
        </is>
      </c>
      <c r="I227" t="n">
        <v>2.7</v>
      </c>
      <c r="J227" t="n">
        <v>0</v>
      </c>
      <c r="K227" t="n">
        <v>0</v>
      </c>
      <c r="L227" t="n">
        <v>0</v>
      </c>
      <c r="M227" t="n">
        <v>0</v>
      </c>
      <c r="N227" t="n">
        <v>0</v>
      </c>
      <c r="O227" t="n">
        <v>0</v>
      </c>
      <c r="P227" t="n">
        <v>0</v>
      </c>
      <c r="Q227" t="n">
        <v>0</v>
      </c>
      <c r="R227" t="n">
        <v>0</v>
      </c>
      <c r="S227" t="n">
        <v>0</v>
      </c>
      <c r="T227" t="n">
        <v>0</v>
      </c>
      <c r="U227" s="2" t="inlineStr"/>
    </row>
    <row r="228" ht="15" customHeight="1">
      <c r="A228" t="inlineStr">
        <is>
          <t>A 43471-2022</t>
        </is>
      </c>
      <c r="B228" t="inlineStr">
        <is>
          <t>avverkningsanmälan</t>
        </is>
      </c>
      <c r="C228" t="inlineStr">
        <is>
          <t>Föryngringsavverkning</t>
        </is>
      </c>
      <c r="D228" s="1" t="n">
        <v>44836</v>
      </c>
      <c r="E228" s="1" t="n">
        <v>46218</v>
      </c>
      <c r="F228" t="inlineStr">
        <is>
          <t>ÖSTERGÖTLANDS LÄN</t>
        </is>
      </c>
      <c r="G228" t="inlineStr">
        <is>
          <t>BOXHOLM</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59779-2022</t>
        </is>
      </c>
      <c r="B229" t="inlineStr">
        <is>
          <t>avverkningsanmälan</t>
        </is>
      </c>
      <c r="C229" t="inlineStr">
        <is>
          <t>Föryngringsavverkning</t>
        </is>
      </c>
      <c r="D229" s="1" t="n">
        <v>44908</v>
      </c>
      <c r="E229" s="1" t="n">
        <v>46218</v>
      </c>
      <c r="F229" t="inlineStr">
        <is>
          <t>ÖSTERGÖTLANDS LÄN</t>
        </is>
      </c>
      <c r="G229" t="inlineStr">
        <is>
          <t>BOXHOLM</t>
        </is>
      </c>
      <c r="H229" t="inlineStr">
        <is>
          <t>Övriga Aktiebolag</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37578-2022</t>
        </is>
      </c>
      <c r="B230" t="inlineStr">
        <is>
          <t>avverkningsanmälan</t>
        </is>
      </c>
      <c r="C230" t="inlineStr">
        <is>
          <t>Föryngringsavverkning</t>
        </is>
      </c>
      <c r="D230" s="1" t="n">
        <v>44809</v>
      </c>
      <c r="E230" s="1" t="n">
        <v>46218</v>
      </c>
      <c r="F230" t="inlineStr">
        <is>
          <t>ÖSTERGÖTLANDS LÄN</t>
        </is>
      </c>
      <c r="G230" t="inlineStr">
        <is>
          <t>BOXHOLM</t>
        </is>
      </c>
      <c r="I230" t="n">
        <v>2.4</v>
      </c>
      <c r="J230" t="n">
        <v>0</v>
      </c>
      <c r="K230" t="n">
        <v>0</v>
      </c>
      <c r="L230" t="n">
        <v>0</v>
      </c>
      <c r="M230" t="n">
        <v>0</v>
      </c>
      <c r="N230" t="n">
        <v>0</v>
      </c>
      <c r="O230" t="n">
        <v>0</v>
      </c>
      <c r="P230" t="n">
        <v>0</v>
      </c>
      <c r="Q230" t="n">
        <v>0</v>
      </c>
      <c r="R230" t="n">
        <v>0</v>
      </c>
      <c r="S230" t="n">
        <v>0</v>
      </c>
      <c r="T230" t="n">
        <v>0</v>
      </c>
      <c r="U230" s="2" t="inlineStr"/>
    </row>
    <row r="231" ht="15" customHeight="1">
      <c r="A231" t="inlineStr">
        <is>
          <t>A 39035-2023</t>
        </is>
      </c>
      <c r="B231" t="inlineStr">
        <is>
          <t>avverkningsanmälan</t>
        </is>
      </c>
      <c r="C231" t="inlineStr">
        <is>
          <t>Föryngringsavverkning</t>
        </is>
      </c>
      <c r="D231" s="1" t="n">
        <v>45163</v>
      </c>
      <c r="E231" s="1" t="n">
        <v>46218</v>
      </c>
      <c r="F231" t="inlineStr">
        <is>
          <t>ÖSTERGÖTLANDS LÄN</t>
        </is>
      </c>
      <c r="G231" t="inlineStr">
        <is>
          <t>BOXHOLM</t>
        </is>
      </c>
      <c r="H231" t="inlineStr">
        <is>
          <t>Allmännings- och besparingsskogar</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51763-2023</t>
        </is>
      </c>
      <c r="B232" t="inlineStr">
        <is>
          <t>avverkningsanmälan</t>
        </is>
      </c>
      <c r="C232" t="inlineStr">
        <is>
          <t>Föryngringsavverkning</t>
        </is>
      </c>
      <c r="D232" s="1" t="n">
        <v>45222</v>
      </c>
      <c r="E232" s="1" t="n">
        <v>46218</v>
      </c>
      <c r="F232" t="inlineStr">
        <is>
          <t>ÖSTERGÖTLANDS LÄN</t>
        </is>
      </c>
      <c r="G232" t="inlineStr">
        <is>
          <t>BOXHOLM</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22856-2023</t>
        </is>
      </c>
      <c r="B233" t="inlineStr">
        <is>
          <t>avverkningsanmälan</t>
        </is>
      </c>
      <c r="C233" t="inlineStr">
        <is>
          <t>Föryngringsavverkning</t>
        </is>
      </c>
      <c r="D233" s="1" t="n">
        <v>45072</v>
      </c>
      <c r="E233" s="1" t="n">
        <v>46218</v>
      </c>
      <c r="F233" t="inlineStr">
        <is>
          <t>ÖSTERGÖTLANDS LÄN</t>
        </is>
      </c>
      <c r="G233" t="inlineStr">
        <is>
          <t>BOXHOLM</t>
        </is>
      </c>
      <c r="I233" t="n">
        <v>2.5</v>
      </c>
      <c r="J233" t="n">
        <v>0</v>
      </c>
      <c r="K233" t="n">
        <v>0</v>
      </c>
      <c r="L233" t="n">
        <v>0</v>
      </c>
      <c r="M233" t="n">
        <v>0</v>
      </c>
      <c r="N233" t="n">
        <v>0</v>
      </c>
      <c r="O233" t="n">
        <v>0</v>
      </c>
      <c r="P233" t="n">
        <v>0</v>
      </c>
      <c r="Q233" t="n">
        <v>0</v>
      </c>
      <c r="R233" t="n">
        <v>0</v>
      </c>
      <c r="S233" t="n">
        <v>0</v>
      </c>
      <c r="T233" t="n">
        <v>0</v>
      </c>
      <c r="U233" s="2" t="inlineStr"/>
    </row>
    <row r="234" ht="15" customHeight="1">
      <c r="A234" t="inlineStr">
        <is>
          <t>A 15500-2023</t>
        </is>
      </c>
      <c r="B234" t="inlineStr">
        <is>
          <t>avverkningsanmälan</t>
        </is>
      </c>
      <c r="C234" t="inlineStr">
        <is>
          <t>Föryngringsavverkning</t>
        </is>
      </c>
      <c r="D234" s="1" t="n">
        <v>45020</v>
      </c>
      <c r="E234" s="1" t="n">
        <v>46218</v>
      </c>
      <c r="F234" t="inlineStr">
        <is>
          <t>ÖSTERGÖTLANDS LÄN</t>
        </is>
      </c>
      <c r="G234" t="inlineStr">
        <is>
          <t>BOXHOLM</t>
        </is>
      </c>
      <c r="I234" t="n">
        <v>0</v>
      </c>
      <c r="J234" t="n">
        <v>0</v>
      </c>
      <c r="K234" t="n">
        <v>0</v>
      </c>
      <c r="L234" t="n">
        <v>0</v>
      </c>
      <c r="M234" t="n">
        <v>0</v>
      </c>
      <c r="N234" t="n">
        <v>0</v>
      </c>
      <c r="O234" t="n">
        <v>0</v>
      </c>
      <c r="P234" t="n">
        <v>0</v>
      </c>
      <c r="Q234" t="n">
        <v>0</v>
      </c>
      <c r="R234" t="n">
        <v>0</v>
      </c>
      <c r="S234" t="n">
        <v>0</v>
      </c>
      <c r="T234" t="n">
        <v>0</v>
      </c>
      <c r="U234" s="2" t="inlineStr"/>
    </row>
    <row r="235" ht="15" customHeight="1">
      <c r="A235" t="inlineStr">
        <is>
          <t>A 19561-2024</t>
        </is>
      </c>
      <c r="B235" t="inlineStr">
        <is>
          <t>avverkningsanmälan</t>
        </is>
      </c>
      <c r="C235" t="inlineStr">
        <is>
          <t>Föryngringsavverkning</t>
        </is>
      </c>
      <c r="D235" s="1" t="n">
        <v>45429</v>
      </c>
      <c r="E235" s="1" t="n">
        <v>46218</v>
      </c>
      <c r="F235" t="inlineStr">
        <is>
          <t>ÖSTERGÖTLANDS LÄN</t>
        </is>
      </c>
      <c r="G235" t="inlineStr">
        <is>
          <t>BOXHOLM</t>
        </is>
      </c>
      <c r="I235" t="n">
        <v>5.5</v>
      </c>
      <c r="J235" t="n">
        <v>0</v>
      </c>
      <c r="K235" t="n">
        <v>0</v>
      </c>
      <c r="L235" t="n">
        <v>0</v>
      </c>
      <c r="M235" t="n">
        <v>0</v>
      </c>
      <c r="N235" t="n">
        <v>0</v>
      </c>
      <c r="O235" t="n">
        <v>0</v>
      </c>
      <c r="P235" t="n">
        <v>0</v>
      </c>
      <c r="Q235" t="n">
        <v>0</v>
      </c>
      <c r="R235" t="n">
        <v>0</v>
      </c>
      <c r="S235" t="n">
        <v>0</v>
      </c>
      <c r="T235" t="n">
        <v>0</v>
      </c>
      <c r="U235" s="2" t="inlineStr"/>
    </row>
    <row r="236" ht="15" customHeight="1">
      <c r="A236" t="inlineStr">
        <is>
          <t>A 50026-2025</t>
        </is>
      </c>
      <c r="B236" t="inlineStr">
        <is>
          <t>avverkningsanmälan</t>
        </is>
      </c>
      <c r="C236" t="inlineStr">
        <is>
          <t>Avverkning för att bevara och utveckla /försöksver</t>
        </is>
      </c>
      <c r="D236" s="1" t="n">
        <v>45943</v>
      </c>
      <c r="E236" s="1" t="n">
        <v>46218</v>
      </c>
      <c r="F236" t="inlineStr">
        <is>
          <t>ÖSTERGÖTLANDS LÄN</t>
        </is>
      </c>
      <c r="G236" t="inlineStr">
        <is>
          <t>BOXHOLM</t>
        </is>
      </c>
      <c r="H236" t="inlineStr">
        <is>
          <t>Övriga Aktiebolag</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25254-2023</t>
        </is>
      </c>
      <c r="B237" t="inlineStr">
        <is>
          <t>avverkningsanmälan</t>
        </is>
      </c>
      <c r="C237" t="inlineStr">
        <is>
          <t>Föryngringsavverkning</t>
        </is>
      </c>
      <c r="D237" s="1" t="n">
        <v>45086</v>
      </c>
      <c r="E237" s="1" t="n">
        <v>46218</v>
      </c>
      <c r="F237" t="inlineStr">
        <is>
          <t>ÖSTERGÖTLANDS LÄN</t>
        </is>
      </c>
      <c r="G237" t="inlineStr">
        <is>
          <t>BOXHOLM</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51625-2022</t>
        </is>
      </c>
      <c r="B238" t="inlineStr">
        <is>
          <t>avverkningsanmälan</t>
        </is>
      </c>
      <c r="C238" t="inlineStr">
        <is>
          <t>Föryngringsavverkning</t>
        </is>
      </c>
      <c r="D238" s="1" t="n">
        <v>44872</v>
      </c>
      <c r="E238" s="1" t="n">
        <v>46218</v>
      </c>
      <c r="F238" t="inlineStr">
        <is>
          <t>ÖSTERGÖTLANDS LÄN</t>
        </is>
      </c>
      <c r="G238" t="inlineStr">
        <is>
          <t>BOXHOLM</t>
        </is>
      </c>
      <c r="H238" t="inlineStr">
        <is>
          <t>Övriga Aktiebolag</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55181-2022</t>
        </is>
      </c>
      <c r="B239" t="inlineStr">
        <is>
          <t>avverkningsanmälan</t>
        </is>
      </c>
      <c r="C239" t="inlineStr">
        <is>
          <t>Föryngringsavverkning</t>
        </is>
      </c>
      <c r="D239" s="1" t="n">
        <v>44886</v>
      </c>
      <c r="E239" s="1" t="n">
        <v>46218</v>
      </c>
      <c r="F239" t="inlineStr">
        <is>
          <t>ÖSTERGÖTLANDS LÄN</t>
        </is>
      </c>
      <c r="G239" t="inlineStr">
        <is>
          <t>BOXHOLM</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55183-2022</t>
        </is>
      </c>
      <c r="B240" t="inlineStr">
        <is>
          <t>avverkningsanmälan</t>
        </is>
      </c>
      <c r="C240" t="inlineStr">
        <is>
          <t>Föryngringsavverkning</t>
        </is>
      </c>
      <c r="D240" s="1" t="n">
        <v>44886</v>
      </c>
      <c r="E240" s="1" t="n">
        <v>46218</v>
      </c>
      <c r="F240" t="inlineStr">
        <is>
          <t>ÖSTERGÖTLANDS LÄN</t>
        </is>
      </c>
      <c r="G240" t="inlineStr">
        <is>
          <t>BOXHOLM</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55252-2022</t>
        </is>
      </c>
      <c r="B241" t="inlineStr">
        <is>
          <t>avverkningsanmälan</t>
        </is>
      </c>
      <c r="C241" t="inlineStr">
        <is>
          <t>Föryngringsavverkning</t>
        </is>
      </c>
      <c r="D241" s="1" t="n">
        <v>44887</v>
      </c>
      <c r="E241" s="1" t="n">
        <v>46218</v>
      </c>
      <c r="F241" t="inlineStr">
        <is>
          <t>ÖSTERGÖTLANDS LÄN</t>
        </is>
      </c>
      <c r="G241" t="inlineStr">
        <is>
          <t>BOXHOLM</t>
        </is>
      </c>
      <c r="H241" t="inlineStr">
        <is>
          <t>Övriga Aktiebolag</t>
        </is>
      </c>
      <c r="I241" t="n">
        <v>3.8</v>
      </c>
      <c r="J241" t="n">
        <v>0</v>
      </c>
      <c r="K241" t="n">
        <v>0</v>
      </c>
      <c r="L241" t="n">
        <v>0</v>
      </c>
      <c r="M241" t="n">
        <v>0</v>
      </c>
      <c r="N241" t="n">
        <v>0</v>
      </c>
      <c r="O241" t="n">
        <v>0</v>
      </c>
      <c r="P241" t="n">
        <v>0</v>
      </c>
      <c r="Q241" t="n">
        <v>0</v>
      </c>
      <c r="R241" t="n">
        <v>0</v>
      </c>
      <c r="S241" t="n">
        <v>0</v>
      </c>
      <c r="T241" t="n">
        <v>0</v>
      </c>
      <c r="U241" s="2" t="inlineStr"/>
    </row>
    <row r="242" ht="15" customHeight="1">
      <c r="A242" t="inlineStr">
        <is>
          <t>A 58738-2025</t>
        </is>
      </c>
      <c r="B242" t="inlineStr">
        <is>
          <t>avverkningsanmälan</t>
        </is>
      </c>
      <c r="C242" t="inlineStr">
        <is>
          <t>Föryngringsavverkning</t>
        </is>
      </c>
      <c r="D242" s="1" t="n">
        <v>45986</v>
      </c>
      <c r="E242" s="1" t="n">
        <v>46218</v>
      </c>
      <c r="F242" t="inlineStr">
        <is>
          <t>ÖSTERGÖTLANDS LÄN</t>
        </is>
      </c>
      <c r="G242" t="inlineStr">
        <is>
          <t>BOXHOLM</t>
        </is>
      </c>
      <c r="H242" t="inlineStr">
        <is>
          <t>Allmännings- och besparingsskogar</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21436-2025</t>
        </is>
      </c>
      <c r="B243" t="inlineStr">
        <is>
          <t>avverkningsanmälan</t>
        </is>
      </c>
      <c r="C243" t="inlineStr">
        <is>
          <t>Föryngringsavverkning</t>
        </is>
      </c>
      <c r="D243" s="1" t="n">
        <v>45782</v>
      </c>
      <c r="E243" s="1" t="n">
        <v>46218</v>
      </c>
      <c r="F243" t="inlineStr">
        <is>
          <t>ÖSTERGÖTLANDS LÄN</t>
        </is>
      </c>
      <c r="G243" t="inlineStr">
        <is>
          <t>BOXHOLM</t>
        </is>
      </c>
      <c r="I243" t="n">
        <v>4.1</v>
      </c>
      <c r="J243" t="n">
        <v>0</v>
      </c>
      <c r="K243" t="n">
        <v>0</v>
      </c>
      <c r="L243" t="n">
        <v>0</v>
      </c>
      <c r="M243" t="n">
        <v>0</v>
      </c>
      <c r="N243" t="n">
        <v>0</v>
      </c>
      <c r="O243" t="n">
        <v>0</v>
      </c>
      <c r="P243" t="n">
        <v>0</v>
      </c>
      <c r="Q243" t="n">
        <v>0</v>
      </c>
      <c r="R243" t="n">
        <v>0</v>
      </c>
      <c r="S243" t="n">
        <v>0</v>
      </c>
      <c r="T243" t="n">
        <v>0</v>
      </c>
      <c r="U243" s="2" t="inlineStr"/>
    </row>
    <row r="244" ht="15" customHeight="1">
      <c r="A244" t="inlineStr">
        <is>
          <t>A 19129-2025</t>
        </is>
      </c>
      <c r="B244" t="inlineStr">
        <is>
          <t>avverkningsanmälan</t>
        </is>
      </c>
      <c r="C244" t="inlineStr">
        <is>
          <t>Föryngringsavverkning</t>
        </is>
      </c>
      <c r="D244" s="1" t="n">
        <v>45769</v>
      </c>
      <c r="E244" s="1" t="n">
        <v>46218</v>
      </c>
      <c r="F244" t="inlineStr">
        <is>
          <t>ÖSTERGÖTLANDS LÄN</t>
        </is>
      </c>
      <c r="G244" t="inlineStr">
        <is>
          <t>BOXHOLM</t>
        </is>
      </c>
      <c r="H244" t="inlineStr">
        <is>
          <t>Övriga Aktiebolag</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58760-2025</t>
        </is>
      </c>
      <c r="B245" t="inlineStr">
        <is>
          <t>avverkningsanmälan</t>
        </is>
      </c>
      <c r="C245" t="inlineStr">
        <is>
          <t>Avverkning för att bevara och utveckla /försöksver</t>
        </is>
      </c>
      <c r="D245" s="1" t="n">
        <v>45986</v>
      </c>
      <c r="E245" s="1" t="n">
        <v>46218</v>
      </c>
      <c r="F245" t="inlineStr">
        <is>
          <t>ÖSTERGÖTLANDS LÄN</t>
        </is>
      </c>
      <c r="G245" t="inlineStr">
        <is>
          <t>BOXHOLM</t>
        </is>
      </c>
      <c r="H245" t="inlineStr">
        <is>
          <t>Övriga Aktiebolag</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58763-2025</t>
        </is>
      </c>
      <c r="B246" t="inlineStr">
        <is>
          <t>avverkningsanmälan</t>
        </is>
      </c>
      <c r="C246" t="inlineStr">
        <is>
          <t>Avverkning för att bevara och utveckla /försöksver</t>
        </is>
      </c>
      <c r="D246" s="1" t="n">
        <v>45986</v>
      </c>
      <c r="E246" s="1" t="n">
        <v>46218</v>
      </c>
      <c r="F246" t="inlineStr">
        <is>
          <t>ÖSTERGÖTLANDS LÄN</t>
        </is>
      </c>
      <c r="G246" t="inlineStr">
        <is>
          <t>BOXHOLM</t>
        </is>
      </c>
      <c r="H246" t="inlineStr">
        <is>
          <t>Övriga Aktiebolag</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65333-2021</t>
        </is>
      </c>
      <c r="B247" t="inlineStr">
        <is>
          <t>avverkningsanmälan</t>
        </is>
      </c>
      <c r="C247" t="inlineStr">
        <is>
          <t>Föryngringsavverkning</t>
        </is>
      </c>
      <c r="D247" s="1" t="n">
        <v>44515</v>
      </c>
      <c r="E247" s="1" t="n">
        <v>46218</v>
      </c>
      <c r="F247" t="inlineStr">
        <is>
          <t>ÖSTERGÖTLANDS LÄN</t>
        </is>
      </c>
      <c r="G247" t="inlineStr">
        <is>
          <t>BOXHOLM</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29612-2025</t>
        </is>
      </c>
      <c r="B248" t="inlineStr">
        <is>
          <t>avverkningsanmälan</t>
        </is>
      </c>
      <c r="C248" t="inlineStr">
        <is>
          <t>Föryngringsavverkning</t>
        </is>
      </c>
      <c r="D248" s="1" t="n">
        <v>45825</v>
      </c>
      <c r="E248" s="1" t="n">
        <v>46218</v>
      </c>
      <c r="F248" t="inlineStr">
        <is>
          <t>ÖSTERGÖTLANDS LÄN</t>
        </is>
      </c>
      <c r="G248" t="inlineStr">
        <is>
          <t>BOXHOLM</t>
        </is>
      </c>
      <c r="H248" t="inlineStr">
        <is>
          <t>Övriga Aktiebolag</t>
        </is>
      </c>
      <c r="I248" t="n">
        <v>2.8</v>
      </c>
      <c r="J248" t="n">
        <v>0</v>
      </c>
      <c r="K248" t="n">
        <v>0</v>
      </c>
      <c r="L248" t="n">
        <v>0</v>
      </c>
      <c r="M248" t="n">
        <v>0</v>
      </c>
      <c r="N248" t="n">
        <v>0</v>
      </c>
      <c r="O248" t="n">
        <v>0</v>
      </c>
      <c r="P248" t="n">
        <v>0</v>
      </c>
      <c r="Q248" t="n">
        <v>0</v>
      </c>
      <c r="R248" t="n">
        <v>0</v>
      </c>
      <c r="S248" t="n">
        <v>0</v>
      </c>
      <c r="T248" t="n">
        <v>0</v>
      </c>
      <c r="U248" s="2" t="inlineStr"/>
    </row>
    <row r="249" ht="15" customHeight="1">
      <c r="A249" t="inlineStr">
        <is>
          <t>A 25892-2026</t>
        </is>
      </c>
      <c r="B249" t="inlineStr">
        <is>
          <t>avverkningsanmälan</t>
        </is>
      </c>
      <c r="C249" t="inlineStr">
        <is>
          <t>Föryngringsavverkning</t>
        </is>
      </c>
      <c r="D249" s="1" t="n">
        <v>46178</v>
      </c>
      <c r="E249" s="1" t="n">
        <v>46218</v>
      </c>
      <c r="F249" t="inlineStr">
        <is>
          <t>ÖSTERGÖTLANDS LÄN</t>
        </is>
      </c>
      <c r="G249" t="inlineStr">
        <is>
          <t>BOXHOLM</t>
        </is>
      </c>
      <c r="H249" t="inlineStr">
        <is>
          <t>Övriga Aktiebolag</t>
        </is>
      </c>
      <c r="I249" t="n">
        <v>6.5</v>
      </c>
      <c r="J249" t="n">
        <v>0</v>
      </c>
      <c r="K249" t="n">
        <v>0</v>
      </c>
      <c r="L249" t="n">
        <v>0</v>
      </c>
      <c r="M249" t="n">
        <v>0</v>
      </c>
      <c r="N249" t="n">
        <v>0</v>
      </c>
      <c r="O249" t="n">
        <v>0</v>
      </c>
      <c r="P249" t="n">
        <v>0</v>
      </c>
      <c r="Q249" t="n">
        <v>0</v>
      </c>
      <c r="R249" t="n">
        <v>0</v>
      </c>
      <c r="S249" t="n">
        <v>0</v>
      </c>
      <c r="T249" t="n">
        <v>0</v>
      </c>
      <c r="U249" s="2" t="inlineStr"/>
    </row>
    <row r="250" ht="15" customHeight="1">
      <c r="A250" t="inlineStr">
        <is>
          <t>A 59485-2025</t>
        </is>
      </c>
      <c r="B250" t="inlineStr">
        <is>
          <t>avverkningsanmälan</t>
        </is>
      </c>
      <c r="C250" t="inlineStr">
        <is>
          <t>Föryngringsavverkning</t>
        </is>
      </c>
      <c r="D250" s="1" t="n">
        <v>45989</v>
      </c>
      <c r="E250" s="1" t="n">
        <v>46218</v>
      </c>
      <c r="F250" t="inlineStr">
        <is>
          <t>ÖSTERGÖTLANDS LÄN</t>
        </is>
      </c>
      <c r="G250" t="inlineStr">
        <is>
          <t>BOXHOLM</t>
        </is>
      </c>
      <c r="H250" t="inlineStr">
        <is>
          <t>Övriga Aktiebolag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59490-2025</t>
        </is>
      </c>
      <c r="B251" t="inlineStr">
        <is>
          <t>avverkningsanmälan</t>
        </is>
      </c>
      <c r="C251" t="inlineStr">
        <is>
          <t>Föryngringsavverkning</t>
        </is>
      </c>
      <c r="D251" s="1" t="n">
        <v>45989</v>
      </c>
      <c r="E251" s="1" t="n">
        <v>46218</v>
      </c>
      <c r="F251" t="inlineStr">
        <is>
          <t>ÖSTERGÖTLANDS LÄN</t>
        </is>
      </c>
      <c r="G251" t="inlineStr">
        <is>
          <t>BOXHOLM</t>
        </is>
      </c>
      <c r="H251" t="inlineStr">
        <is>
          <t>Övriga Aktiebolag</t>
        </is>
      </c>
      <c r="I251" t="n">
        <v>2.2</v>
      </c>
      <c r="J251" t="n">
        <v>0</v>
      </c>
      <c r="K251" t="n">
        <v>0</v>
      </c>
      <c r="L251" t="n">
        <v>0</v>
      </c>
      <c r="M251" t="n">
        <v>0</v>
      </c>
      <c r="N251" t="n">
        <v>0</v>
      </c>
      <c r="O251" t="n">
        <v>0</v>
      </c>
      <c r="P251" t="n">
        <v>0</v>
      </c>
      <c r="Q251" t="n">
        <v>0</v>
      </c>
      <c r="R251" t="n">
        <v>0</v>
      </c>
      <c r="S251" t="n">
        <v>0</v>
      </c>
      <c r="T251" t="n">
        <v>0</v>
      </c>
      <c r="U251" s="2" t="inlineStr"/>
    </row>
    <row r="252" ht="15" customHeight="1">
      <c r="A252" t="inlineStr">
        <is>
          <t>A 35440-2025</t>
        </is>
      </c>
      <c r="B252" t="inlineStr">
        <is>
          <t>avverkningsanmälan</t>
        </is>
      </c>
      <c r="C252" t="inlineStr">
        <is>
          <t>Avverkning för annat ändamål</t>
        </is>
      </c>
      <c r="D252" s="1" t="n">
        <v>45855</v>
      </c>
      <c r="E252" s="1" t="n">
        <v>46218</v>
      </c>
      <c r="F252" t="inlineStr">
        <is>
          <t>ÖSTERGÖTLANDS LÄN</t>
        </is>
      </c>
      <c r="G252" t="inlineStr">
        <is>
          <t>BOXHOLM</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57132-2024</t>
        </is>
      </c>
      <c r="B253" t="inlineStr">
        <is>
          <t>avverkningsanmälan</t>
        </is>
      </c>
      <c r="C253" t="inlineStr">
        <is>
          <t>Avverkning för att bevara och utveckla /försöksver</t>
        </is>
      </c>
      <c r="D253" s="1" t="n">
        <v>45629</v>
      </c>
      <c r="E253" s="1" t="n">
        <v>46218</v>
      </c>
      <c r="F253" t="inlineStr">
        <is>
          <t>ÖSTERGÖTLANDS LÄN</t>
        </is>
      </c>
      <c r="G253" t="inlineStr">
        <is>
          <t>BOXHOLM</t>
        </is>
      </c>
      <c r="H253" t="inlineStr">
        <is>
          <t>Övriga Aktiebolag</t>
        </is>
      </c>
      <c r="I253" t="n">
        <v>7</v>
      </c>
      <c r="J253" t="n">
        <v>0</v>
      </c>
      <c r="K253" t="n">
        <v>0</v>
      </c>
      <c r="L253" t="n">
        <v>0</v>
      </c>
      <c r="M253" t="n">
        <v>0</v>
      </c>
      <c r="N253" t="n">
        <v>0</v>
      </c>
      <c r="O253" t="n">
        <v>0</v>
      </c>
      <c r="P253" t="n">
        <v>0</v>
      </c>
      <c r="Q253" t="n">
        <v>0</v>
      </c>
      <c r="R253" t="n">
        <v>0</v>
      </c>
      <c r="S253" t="n">
        <v>0</v>
      </c>
      <c r="T253" t="n">
        <v>0</v>
      </c>
      <c r="U253" s="2" t="inlineStr"/>
    </row>
    <row r="254" ht="15" customHeight="1">
      <c r="A254" t="inlineStr">
        <is>
          <t>A 35765-2025</t>
        </is>
      </c>
      <c r="B254" t="inlineStr">
        <is>
          <t>avverkningsanmälan</t>
        </is>
      </c>
      <c r="C254" t="inlineStr">
        <is>
          <t>Föryngringsavverkning</t>
        </is>
      </c>
      <c r="D254" s="1" t="n">
        <v>45860</v>
      </c>
      <c r="E254" s="1" t="n">
        <v>46218</v>
      </c>
      <c r="F254" t="inlineStr">
        <is>
          <t>ÖSTERGÖTLANDS LÄN</t>
        </is>
      </c>
      <c r="G254" t="inlineStr">
        <is>
          <t>BOXHOLM</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45859-2024</t>
        </is>
      </c>
      <c r="B255" t="inlineStr">
        <is>
          <t>avverkningsanmälan</t>
        </is>
      </c>
      <c r="C255" t="inlineStr">
        <is>
          <t>Föryngringsavverkning</t>
        </is>
      </c>
      <c r="D255" s="1" t="n">
        <v>45580</v>
      </c>
      <c r="E255" s="1" t="n">
        <v>46218</v>
      </c>
      <c r="F255" t="inlineStr">
        <is>
          <t>ÖSTERGÖTLANDS LÄN</t>
        </is>
      </c>
      <c r="G255" t="inlineStr">
        <is>
          <t>BOXHOLM</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36177-2025</t>
        </is>
      </c>
      <c r="B256" t="inlineStr">
        <is>
          <t>avverkningsanmälan</t>
        </is>
      </c>
      <c r="C256" t="inlineStr">
        <is>
          <t>Avverkning för att bevara och utveckla /försöksver</t>
        </is>
      </c>
      <c r="D256" s="1" t="n">
        <v>45867</v>
      </c>
      <c r="E256" s="1" t="n">
        <v>46218</v>
      </c>
      <c r="F256" t="inlineStr">
        <is>
          <t>ÖSTERGÖTLANDS LÄN</t>
        </is>
      </c>
      <c r="G256" t="inlineStr">
        <is>
          <t>BOXHOLM</t>
        </is>
      </c>
      <c r="H256" t="inlineStr">
        <is>
          <t>Övriga Aktiebolag</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36175-2025</t>
        </is>
      </c>
      <c r="B257" t="inlineStr">
        <is>
          <t>avverkningsanmälan</t>
        </is>
      </c>
      <c r="C257" t="inlineStr">
        <is>
          <t>Föryngringsavverkning</t>
        </is>
      </c>
      <c r="D257" s="1" t="n">
        <v>45867</v>
      </c>
      <c r="E257" s="1" t="n">
        <v>46218</v>
      </c>
      <c r="F257" t="inlineStr">
        <is>
          <t>ÖSTERGÖTLANDS LÄN</t>
        </is>
      </c>
      <c r="G257" t="inlineStr">
        <is>
          <t>BOXHOLM</t>
        </is>
      </c>
      <c r="H257" t="inlineStr">
        <is>
          <t>Övriga Aktiebolag</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36202-2025</t>
        </is>
      </c>
      <c r="B258" t="inlineStr">
        <is>
          <t>avverkningsanmälan</t>
        </is>
      </c>
      <c r="C258" t="inlineStr">
        <is>
          <t>Avverkning för att bevara och utveckla /försöksver</t>
        </is>
      </c>
      <c r="D258" s="1" t="n">
        <v>45867</v>
      </c>
      <c r="E258" s="1" t="n">
        <v>46218</v>
      </c>
      <c r="F258" t="inlineStr">
        <is>
          <t>ÖSTERGÖTLANDS LÄN</t>
        </is>
      </c>
      <c r="G258" t="inlineStr">
        <is>
          <t>BOXHOLM</t>
        </is>
      </c>
      <c r="H258" t="inlineStr">
        <is>
          <t>Övriga Aktiebolag</t>
        </is>
      </c>
      <c r="I258" t="n">
        <v>2.7</v>
      </c>
      <c r="J258" t="n">
        <v>0</v>
      </c>
      <c r="K258" t="n">
        <v>0</v>
      </c>
      <c r="L258" t="n">
        <v>0</v>
      </c>
      <c r="M258" t="n">
        <v>0</v>
      </c>
      <c r="N258" t="n">
        <v>0</v>
      </c>
      <c r="O258" t="n">
        <v>0</v>
      </c>
      <c r="P258" t="n">
        <v>0</v>
      </c>
      <c r="Q258" t="n">
        <v>0</v>
      </c>
      <c r="R258" t="n">
        <v>0</v>
      </c>
      <c r="S258" t="n">
        <v>0</v>
      </c>
      <c r="T258" t="n">
        <v>0</v>
      </c>
      <c r="U258" s="2" t="inlineStr"/>
    </row>
    <row r="259" ht="15" customHeight="1">
      <c r="A259" t="inlineStr">
        <is>
          <t>A 36433-2025</t>
        </is>
      </c>
      <c r="B259" t="inlineStr">
        <is>
          <t>avverkningsanmälan</t>
        </is>
      </c>
      <c r="C259" t="inlineStr">
        <is>
          <t>Avverkning för att bevara och utveckla /försöksver</t>
        </is>
      </c>
      <c r="D259" s="1" t="n">
        <v>45869</v>
      </c>
      <c r="E259" s="1" t="n">
        <v>46218</v>
      </c>
      <c r="F259" t="inlineStr">
        <is>
          <t>ÖSTERGÖTLANDS LÄN</t>
        </is>
      </c>
      <c r="G259" t="inlineStr">
        <is>
          <t>BOXHOLM</t>
        </is>
      </c>
      <c r="H259" t="inlineStr">
        <is>
          <t>Övriga Aktiebolag</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59833-2025</t>
        </is>
      </c>
      <c r="B260" t="inlineStr">
        <is>
          <t>avverkningsanmälan</t>
        </is>
      </c>
      <c r="C260" t="inlineStr">
        <is>
          <t>Föryngringsavverkning</t>
        </is>
      </c>
      <c r="D260" s="1" t="n">
        <v>45992</v>
      </c>
      <c r="E260" s="1" t="n">
        <v>46218</v>
      </c>
      <c r="F260" t="inlineStr">
        <is>
          <t>ÖSTERGÖTLANDS LÄN</t>
        </is>
      </c>
      <c r="G260" t="inlineStr">
        <is>
          <t>BOXHOLM</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50239-2024</t>
        </is>
      </c>
      <c r="B261" t="inlineStr">
        <is>
          <t>avverkningsanmälan</t>
        </is>
      </c>
      <c r="C261" t="inlineStr">
        <is>
          <t>Avverkning för att bevara och utveckla /försöksver</t>
        </is>
      </c>
      <c r="D261" s="1" t="n">
        <v>45600</v>
      </c>
      <c r="E261" s="1" t="n">
        <v>46218</v>
      </c>
      <c r="F261" t="inlineStr">
        <is>
          <t>ÖSTERGÖTLANDS LÄN</t>
        </is>
      </c>
      <c r="G261" t="inlineStr">
        <is>
          <t>BOXHOLM</t>
        </is>
      </c>
      <c r="H261" t="inlineStr">
        <is>
          <t>Övriga Aktiebolag</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50251-2024</t>
        </is>
      </c>
      <c r="B262" t="inlineStr">
        <is>
          <t>avverkningsanmälan</t>
        </is>
      </c>
      <c r="C262" t="inlineStr">
        <is>
          <t>Avverkning för att bevara och utveckla /försöksver</t>
        </is>
      </c>
      <c r="D262" s="1" t="n">
        <v>45600</v>
      </c>
      <c r="E262" s="1" t="n">
        <v>46218</v>
      </c>
      <c r="F262" t="inlineStr">
        <is>
          <t>ÖSTERGÖTLANDS LÄN</t>
        </is>
      </c>
      <c r="G262" t="inlineStr">
        <is>
          <t>BOXHOLM</t>
        </is>
      </c>
      <c r="H262" t="inlineStr">
        <is>
          <t>Övriga Aktiebolag</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51708-2023</t>
        </is>
      </c>
      <c r="B263" t="inlineStr">
        <is>
          <t>avverkningsanmälan</t>
        </is>
      </c>
      <c r="C263" t="inlineStr">
        <is>
          <t>Föryngringsavverkning</t>
        </is>
      </c>
      <c r="D263" s="1" t="n">
        <v>45222</v>
      </c>
      <c r="E263" s="1" t="n">
        <v>46218</v>
      </c>
      <c r="F263" t="inlineStr">
        <is>
          <t>ÖSTERGÖTLANDS LÄN</t>
        </is>
      </c>
      <c r="G263" t="inlineStr">
        <is>
          <t>BOXHOLM</t>
        </is>
      </c>
      <c r="H263" t="inlineStr">
        <is>
          <t>Allmännings- och besparingsskogar</t>
        </is>
      </c>
      <c r="I263" t="n">
        <v>24.2</v>
      </c>
      <c r="J263" t="n">
        <v>0</v>
      </c>
      <c r="K263" t="n">
        <v>0</v>
      </c>
      <c r="L263" t="n">
        <v>0</v>
      </c>
      <c r="M263" t="n">
        <v>0</v>
      </c>
      <c r="N263" t="n">
        <v>0</v>
      </c>
      <c r="O263" t="n">
        <v>0</v>
      </c>
      <c r="P263" t="n">
        <v>0</v>
      </c>
      <c r="Q263" t="n">
        <v>0</v>
      </c>
      <c r="R263" t="n">
        <v>0</v>
      </c>
      <c r="S263" t="n">
        <v>0</v>
      </c>
      <c r="T263" t="n">
        <v>0</v>
      </c>
      <c r="U263" s="2" t="inlineStr"/>
    </row>
    <row r="264" ht="15" customHeight="1">
      <c r="A264" t="inlineStr">
        <is>
          <t>A 60521-2025</t>
        </is>
      </c>
      <c r="B264" t="inlineStr">
        <is>
          <t>avverkningsanmälan</t>
        </is>
      </c>
      <c r="C264" t="inlineStr">
        <is>
          <t>Föryngringsavverkning</t>
        </is>
      </c>
      <c r="D264" s="1" t="n">
        <v>45995</v>
      </c>
      <c r="E264" s="1" t="n">
        <v>46218</v>
      </c>
      <c r="F264" t="inlineStr">
        <is>
          <t>ÖSTERGÖTLANDS LÄN</t>
        </is>
      </c>
      <c r="G264" t="inlineStr">
        <is>
          <t>BOXHOLM</t>
        </is>
      </c>
      <c r="H264" t="inlineStr">
        <is>
          <t>Allmännings- och besparingsskogar</t>
        </is>
      </c>
      <c r="I264" t="n">
        <v>9</v>
      </c>
      <c r="J264" t="n">
        <v>0</v>
      </c>
      <c r="K264" t="n">
        <v>0</v>
      </c>
      <c r="L264" t="n">
        <v>0</v>
      </c>
      <c r="M264" t="n">
        <v>0</v>
      </c>
      <c r="N264" t="n">
        <v>0</v>
      </c>
      <c r="O264" t="n">
        <v>0</v>
      </c>
      <c r="P264" t="n">
        <v>0</v>
      </c>
      <c r="Q264" t="n">
        <v>0</v>
      </c>
      <c r="R264" t="n">
        <v>0</v>
      </c>
      <c r="S264" t="n">
        <v>0</v>
      </c>
      <c r="T264" t="n">
        <v>0</v>
      </c>
      <c r="U264" s="2" t="inlineStr"/>
    </row>
    <row r="265" ht="15" customHeight="1">
      <c r="A265" t="inlineStr">
        <is>
          <t>A 35762-2025</t>
        </is>
      </c>
      <c r="B265" t="inlineStr">
        <is>
          <t>avverkningsanmälan</t>
        </is>
      </c>
      <c r="C265" t="inlineStr">
        <is>
          <t>Föryngringsavverkning</t>
        </is>
      </c>
      <c r="D265" s="1" t="n">
        <v>45860</v>
      </c>
      <c r="E265" s="1" t="n">
        <v>46218</v>
      </c>
      <c r="F265" t="inlineStr">
        <is>
          <t>ÖSTERGÖTLANDS LÄN</t>
        </is>
      </c>
      <c r="G265" t="inlineStr">
        <is>
          <t>BOXHOLM</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35764-2025</t>
        </is>
      </c>
      <c r="B266" t="inlineStr">
        <is>
          <t>avverkningsanmälan</t>
        </is>
      </c>
      <c r="C266" t="inlineStr">
        <is>
          <t>Föryngringsavverkning</t>
        </is>
      </c>
      <c r="D266" s="1" t="n">
        <v>45860</v>
      </c>
      <c r="E266" s="1" t="n">
        <v>46218</v>
      </c>
      <c r="F266" t="inlineStr">
        <is>
          <t>ÖSTERGÖTLANDS LÄN</t>
        </is>
      </c>
      <c r="G266" t="inlineStr">
        <is>
          <t>BOXHOLM</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35763-2025</t>
        </is>
      </c>
      <c r="B267" t="inlineStr">
        <is>
          <t>avverkningsanmälan</t>
        </is>
      </c>
      <c r="C267" t="inlineStr">
        <is>
          <t>Föryngringsavverkning</t>
        </is>
      </c>
      <c r="D267" s="1" t="n">
        <v>45860</v>
      </c>
      <c r="E267" s="1" t="n">
        <v>46218</v>
      </c>
      <c r="F267" t="inlineStr">
        <is>
          <t>ÖSTERGÖTLANDS LÄN</t>
        </is>
      </c>
      <c r="G267" t="inlineStr">
        <is>
          <t>BOXHOLM</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60638-2025</t>
        </is>
      </c>
      <c r="B268" t="inlineStr">
        <is>
          <t>avverkningsanmälan</t>
        </is>
      </c>
      <c r="C268" t="inlineStr">
        <is>
          <t>Avverkning för att bevara och utveckla /försöksver</t>
        </is>
      </c>
      <c r="D268" s="1" t="n">
        <v>45996</v>
      </c>
      <c r="E268" s="1" t="n">
        <v>46218</v>
      </c>
      <c r="F268" t="inlineStr">
        <is>
          <t>ÖSTERGÖTLANDS LÄN</t>
        </is>
      </c>
      <c r="G268" t="inlineStr">
        <is>
          <t>BOXHOLM</t>
        </is>
      </c>
      <c r="H268" t="inlineStr">
        <is>
          <t>Övriga Aktiebolag</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25279-2024</t>
        </is>
      </c>
      <c r="B269" t="inlineStr">
        <is>
          <t>avverkningsanmälan</t>
        </is>
      </c>
      <c r="C269" t="inlineStr">
        <is>
          <t>Avverkning för att bevara och utveckla /försöksver</t>
        </is>
      </c>
      <c r="D269" s="1" t="n">
        <v>45462</v>
      </c>
      <c r="E269" s="1" t="n">
        <v>46218</v>
      </c>
      <c r="F269" t="inlineStr">
        <is>
          <t>ÖSTERGÖTLANDS LÄN</t>
        </is>
      </c>
      <c r="G269" t="inlineStr">
        <is>
          <t>BOXHOLM</t>
        </is>
      </c>
      <c r="H269" t="inlineStr">
        <is>
          <t>Övriga Aktiebolag</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31673-2023</t>
        </is>
      </c>
      <c r="B270" t="inlineStr">
        <is>
          <t>avverkningsanmälan</t>
        </is>
      </c>
      <c r="C270" t="inlineStr">
        <is>
          <t>Avverkning för att bevara och utveckla /försöksver</t>
        </is>
      </c>
      <c r="D270" s="1" t="n">
        <v>45117</v>
      </c>
      <c r="E270" s="1" t="n">
        <v>46218</v>
      </c>
      <c r="F270" t="inlineStr">
        <is>
          <t>ÖSTERGÖTLANDS LÄN</t>
        </is>
      </c>
      <c r="G270" t="inlineStr">
        <is>
          <t>BOXHOLM</t>
        </is>
      </c>
      <c r="H270" t="inlineStr">
        <is>
          <t>Övriga Aktiebolag</t>
        </is>
      </c>
      <c r="I270" t="n">
        <v>4.6</v>
      </c>
      <c r="J270" t="n">
        <v>0</v>
      </c>
      <c r="K270" t="n">
        <v>0</v>
      </c>
      <c r="L270" t="n">
        <v>0</v>
      </c>
      <c r="M270" t="n">
        <v>0</v>
      </c>
      <c r="N270" t="n">
        <v>0</v>
      </c>
      <c r="O270" t="n">
        <v>0</v>
      </c>
      <c r="P270" t="n">
        <v>0</v>
      </c>
      <c r="Q270" t="n">
        <v>0</v>
      </c>
      <c r="R270" t="n">
        <v>0</v>
      </c>
      <c r="S270" t="n">
        <v>0</v>
      </c>
      <c r="T270" t="n">
        <v>0</v>
      </c>
      <c r="U270" s="2" t="inlineStr"/>
    </row>
    <row r="271" ht="15" customHeight="1">
      <c r="A271" t="inlineStr">
        <is>
          <t>A 23834-2023</t>
        </is>
      </c>
      <c r="B271" t="inlineStr">
        <is>
          <t>avverkningsanmälan</t>
        </is>
      </c>
      <c r="C271" t="inlineStr">
        <is>
          <t>Föryngringsavverkning</t>
        </is>
      </c>
      <c r="D271" s="1" t="n">
        <v>45078</v>
      </c>
      <c r="E271" s="1" t="n">
        <v>46218</v>
      </c>
      <c r="F271" t="inlineStr">
        <is>
          <t>ÖSTERGÖTLANDS LÄN</t>
        </is>
      </c>
      <c r="G271" t="inlineStr">
        <is>
          <t>BOXHOLM</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61961-2025</t>
        </is>
      </c>
      <c r="B272" t="inlineStr">
        <is>
          <t>avverkningsanmälan</t>
        </is>
      </c>
      <c r="C272" t="inlineStr">
        <is>
          <t>Föryngringsavverkning</t>
        </is>
      </c>
      <c r="D272" s="1" t="n">
        <v>46003</v>
      </c>
      <c r="E272" s="1" t="n">
        <v>46218</v>
      </c>
      <c r="F272" t="inlineStr">
        <is>
          <t>ÖSTERGÖTLANDS LÄN</t>
        </is>
      </c>
      <c r="G272" t="inlineStr">
        <is>
          <t>BOXHOLM</t>
        </is>
      </c>
      <c r="I272" t="n">
        <v>3.5</v>
      </c>
      <c r="J272" t="n">
        <v>0</v>
      </c>
      <c r="K272" t="n">
        <v>0</v>
      </c>
      <c r="L272" t="n">
        <v>0</v>
      </c>
      <c r="M272" t="n">
        <v>0</v>
      </c>
      <c r="N272" t="n">
        <v>0</v>
      </c>
      <c r="O272" t="n">
        <v>0</v>
      </c>
      <c r="P272" t="n">
        <v>0</v>
      </c>
      <c r="Q272" t="n">
        <v>0</v>
      </c>
      <c r="R272" t="n">
        <v>0</v>
      </c>
      <c r="S272" t="n">
        <v>0</v>
      </c>
      <c r="T272" t="n">
        <v>0</v>
      </c>
      <c r="U272" s="2" t="inlineStr"/>
    </row>
    <row r="273" ht="15" customHeight="1">
      <c r="A273" t="inlineStr">
        <is>
          <t>A 61966-2025</t>
        </is>
      </c>
      <c r="B273" t="inlineStr">
        <is>
          <t>avverkningsanmälan</t>
        </is>
      </c>
      <c r="C273" t="inlineStr">
        <is>
          <t>Föryngringsavverkning</t>
        </is>
      </c>
      <c r="D273" s="1" t="n">
        <v>46003</v>
      </c>
      <c r="E273" s="1" t="n">
        <v>46218</v>
      </c>
      <c r="F273" t="inlineStr">
        <is>
          <t>ÖSTERGÖTLANDS LÄN</t>
        </is>
      </c>
      <c r="G273" t="inlineStr">
        <is>
          <t>BOXHOLM</t>
        </is>
      </c>
      <c r="I273" t="n">
        <v>5</v>
      </c>
      <c r="J273" t="n">
        <v>0</v>
      </c>
      <c r="K273" t="n">
        <v>0</v>
      </c>
      <c r="L273" t="n">
        <v>0</v>
      </c>
      <c r="M273" t="n">
        <v>0</v>
      </c>
      <c r="N273" t="n">
        <v>0</v>
      </c>
      <c r="O273" t="n">
        <v>0</v>
      </c>
      <c r="P273" t="n">
        <v>0</v>
      </c>
      <c r="Q273" t="n">
        <v>0</v>
      </c>
      <c r="R273" t="n">
        <v>0</v>
      </c>
      <c r="S273" t="n">
        <v>0</v>
      </c>
      <c r="T273" t="n">
        <v>0</v>
      </c>
      <c r="U273" s="2" t="inlineStr"/>
    </row>
    <row r="274" ht="15" customHeight="1">
      <c r="A274" t="inlineStr">
        <is>
          <t>A 48373-2022</t>
        </is>
      </c>
      <c r="B274" t="inlineStr">
        <is>
          <t>avverkningsanmälan</t>
        </is>
      </c>
      <c r="C274" t="inlineStr">
        <is>
          <t>Föryngringsavverkning</t>
        </is>
      </c>
      <c r="D274" s="1" t="n">
        <v>44858</v>
      </c>
      <c r="E274" s="1" t="n">
        <v>46218</v>
      </c>
      <c r="F274" t="inlineStr">
        <is>
          <t>ÖSTERGÖTLANDS LÄN</t>
        </is>
      </c>
      <c r="G274" t="inlineStr">
        <is>
          <t>BOXHOLM</t>
        </is>
      </c>
      <c r="H274" t="inlineStr">
        <is>
          <t>Övriga Aktiebolag</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13993-2022</t>
        </is>
      </c>
      <c r="B275" t="inlineStr">
        <is>
          <t>avverkningsanmälan</t>
        </is>
      </c>
      <c r="C275" t="inlineStr">
        <is>
          <t>Föryngringsavverkning</t>
        </is>
      </c>
      <c r="D275" s="1" t="n">
        <v>44650</v>
      </c>
      <c r="E275" s="1" t="n">
        <v>46218</v>
      </c>
      <c r="F275" t="inlineStr">
        <is>
          <t>ÖSTERGÖTLANDS LÄN</t>
        </is>
      </c>
      <c r="G275" t="inlineStr">
        <is>
          <t>BOXHOLM</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27485-2026</t>
        </is>
      </c>
      <c r="B276" t="inlineStr">
        <is>
          <t>avverkningsanmälan</t>
        </is>
      </c>
      <c r="C276" t="inlineStr">
        <is>
          <t>Avverkning för att bevara och utveckla /försöksver</t>
        </is>
      </c>
      <c r="D276" s="1" t="n">
        <v>46189</v>
      </c>
      <c r="E276" s="1" t="n">
        <v>46218</v>
      </c>
      <c r="F276" t="inlineStr">
        <is>
          <t>ÖSTERGÖTLANDS LÄN</t>
        </is>
      </c>
      <c r="G276" t="inlineStr">
        <is>
          <t>BOXHOLM</t>
        </is>
      </c>
      <c r="H276" t="inlineStr">
        <is>
          <t>Övriga Aktiebolag</t>
        </is>
      </c>
      <c r="I276" t="n">
        <v>4.7</v>
      </c>
      <c r="J276" t="n">
        <v>0</v>
      </c>
      <c r="K276" t="n">
        <v>0</v>
      </c>
      <c r="L276" t="n">
        <v>0</v>
      </c>
      <c r="M276" t="n">
        <v>0</v>
      </c>
      <c r="N276" t="n">
        <v>0</v>
      </c>
      <c r="O276" t="n">
        <v>0</v>
      </c>
      <c r="P276" t="n">
        <v>0</v>
      </c>
      <c r="Q276" t="n">
        <v>0</v>
      </c>
      <c r="R276" t="n">
        <v>0</v>
      </c>
      <c r="S276" t="n">
        <v>0</v>
      </c>
      <c r="T276" t="n">
        <v>0</v>
      </c>
      <c r="U276" s="2" t="inlineStr"/>
    </row>
    <row r="277" ht="15" customHeight="1">
      <c r="A277" t="inlineStr">
        <is>
          <t>A 62776-2025</t>
        </is>
      </c>
      <c r="B277" t="inlineStr">
        <is>
          <t>avverkningsanmälan</t>
        </is>
      </c>
      <c r="C277" t="inlineStr">
        <is>
          <t>Avverkning för att bevara och utveckla /försöksver</t>
        </is>
      </c>
      <c r="D277" s="1" t="n">
        <v>46008</v>
      </c>
      <c r="E277" s="1" t="n">
        <v>46218</v>
      </c>
      <c r="F277" t="inlineStr">
        <is>
          <t>ÖSTERGÖTLANDS LÄN</t>
        </is>
      </c>
      <c r="G277" t="inlineStr">
        <is>
          <t>BOXHOLM</t>
        </is>
      </c>
      <c r="H277" t="inlineStr">
        <is>
          <t>Övriga Aktiebolag</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62796-2025</t>
        </is>
      </c>
      <c r="B278" t="inlineStr">
        <is>
          <t>avverkningsanmälan</t>
        </is>
      </c>
      <c r="C278" t="inlineStr">
        <is>
          <t>Avverkning för att bevara och utveckla /försöksver</t>
        </is>
      </c>
      <c r="D278" s="1" t="n">
        <v>46008</v>
      </c>
      <c r="E278" s="1" t="n">
        <v>46218</v>
      </c>
      <c r="F278" t="inlineStr">
        <is>
          <t>ÖSTERGÖTLANDS LÄN</t>
        </is>
      </c>
      <c r="G278" t="inlineStr">
        <is>
          <t>BOXHOLM</t>
        </is>
      </c>
      <c r="H278" t="inlineStr">
        <is>
          <t>Övriga Aktiebolag</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21119-2026</t>
        </is>
      </c>
      <c r="B279" t="inlineStr">
        <is>
          <t>avverkningsanmälan</t>
        </is>
      </c>
      <c r="C279" t="inlineStr">
        <is>
          <t>Föryngringsavverkning</t>
        </is>
      </c>
      <c r="D279" s="1" t="n">
        <v>46146</v>
      </c>
      <c r="E279" s="1" t="n">
        <v>46218</v>
      </c>
      <c r="F279" t="inlineStr">
        <is>
          <t>ÖSTERGÖTLANDS LÄN</t>
        </is>
      </c>
      <c r="G279" t="inlineStr">
        <is>
          <t>BOXHOLM</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42383-2022</t>
        </is>
      </c>
      <c r="B280" t="inlineStr">
        <is>
          <t>avverkningsanmälan</t>
        </is>
      </c>
      <c r="C280" t="inlineStr">
        <is>
          <t>Föryngringsavverkning</t>
        </is>
      </c>
      <c r="D280" s="1" t="n">
        <v>44831</v>
      </c>
      <c r="E280" s="1" t="n">
        <v>46218</v>
      </c>
      <c r="F280" t="inlineStr">
        <is>
          <t>ÖSTERGÖTLANDS LÄN</t>
        </is>
      </c>
      <c r="G280" t="inlineStr">
        <is>
          <t>BOXHOLM</t>
        </is>
      </c>
      <c r="H280" t="inlineStr">
        <is>
          <t>Övriga Aktiebolag</t>
        </is>
      </c>
      <c r="I280" t="n">
        <v>3.1</v>
      </c>
      <c r="J280" t="n">
        <v>0</v>
      </c>
      <c r="K280" t="n">
        <v>0</v>
      </c>
      <c r="L280" t="n">
        <v>0</v>
      </c>
      <c r="M280" t="n">
        <v>0</v>
      </c>
      <c r="N280" t="n">
        <v>0</v>
      </c>
      <c r="O280" t="n">
        <v>0</v>
      </c>
      <c r="P280" t="n">
        <v>0</v>
      </c>
      <c r="Q280" t="n">
        <v>0</v>
      </c>
      <c r="R280" t="n">
        <v>0</v>
      </c>
      <c r="S280" t="n">
        <v>0</v>
      </c>
      <c r="T280" t="n">
        <v>0</v>
      </c>
      <c r="U280" s="2" t="inlineStr"/>
    </row>
    <row r="281" ht="15" customHeight="1">
      <c r="A281" t="inlineStr">
        <is>
          <t>A 21969-2026</t>
        </is>
      </c>
      <c r="B281" t="inlineStr">
        <is>
          <t>avverkningsanmälan</t>
        </is>
      </c>
      <c r="C281" t="inlineStr">
        <is>
          <t>Föryngringsavverkning</t>
        </is>
      </c>
      <c r="D281" s="1" t="n">
        <v>46152</v>
      </c>
      <c r="E281" s="1" t="n">
        <v>46218</v>
      </c>
      <c r="F281" t="inlineStr">
        <is>
          <t>ÖSTERGÖTLANDS LÄN</t>
        </is>
      </c>
      <c r="G281" t="inlineStr">
        <is>
          <t>BOXHOLM</t>
        </is>
      </c>
      <c r="I281" t="n">
        <v>3.4</v>
      </c>
      <c r="J281" t="n">
        <v>0</v>
      </c>
      <c r="K281" t="n">
        <v>0</v>
      </c>
      <c r="L281" t="n">
        <v>0</v>
      </c>
      <c r="M281" t="n">
        <v>0</v>
      </c>
      <c r="N281" t="n">
        <v>0</v>
      </c>
      <c r="O281" t="n">
        <v>0</v>
      </c>
      <c r="P281" t="n">
        <v>0</v>
      </c>
      <c r="Q281" t="n">
        <v>0</v>
      </c>
      <c r="R281" t="n">
        <v>0</v>
      </c>
      <c r="S281" t="n">
        <v>0</v>
      </c>
      <c r="T281" t="n">
        <v>0</v>
      </c>
      <c r="U281" s="2" t="inlineStr"/>
    </row>
    <row r="282" ht="15" customHeight="1">
      <c r="A282" t="inlineStr">
        <is>
          <t>A 1090-2026</t>
        </is>
      </c>
      <c r="B282" t="inlineStr">
        <is>
          <t>avverkningsanmälan</t>
        </is>
      </c>
      <c r="C282" t="inlineStr">
        <is>
          <t>Föryngringsavverkning</t>
        </is>
      </c>
      <c r="D282" s="1" t="n">
        <v>46030</v>
      </c>
      <c r="E282" s="1" t="n">
        <v>46218</v>
      </c>
      <c r="F282" t="inlineStr">
        <is>
          <t>ÖSTERGÖTLANDS LÄN</t>
        </is>
      </c>
      <c r="G282" t="inlineStr">
        <is>
          <t>BOXHOLM</t>
        </is>
      </c>
      <c r="H282" t="inlineStr">
        <is>
          <t>Allmännings- och besparingsskogar</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27305-2026</t>
        </is>
      </c>
      <c r="B283" t="inlineStr">
        <is>
          <t>avverkningsanmälan</t>
        </is>
      </c>
      <c r="C283" t="inlineStr">
        <is>
          <t>Avverkning för att bevara och utveckla /försöksver</t>
        </is>
      </c>
      <c r="D283" s="1" t="n">
        <v>46188</v>
      </c>
      <c r="E283" s="1" t="n">
        <v>46218</v>
      </c>
      <c r="F283" t="inlineStr">
        <is>
          <t>ÖSTERGÖTLANDS LÄN</t>
        </is>
      </c>
      <c r="G283" t="inlineStr">
        <is>
          <t>BOXHOLM</t>
        </is>
      </c>
      <c r="H283" t="inlineStr">
        <is>
          <t>Övriga Aktiebolag</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52964-2023</t>
        </is>
      </c>
      <c r="B284" t="inlineStr">
        <is>
          <t>avverkningsanmälan</t>
        </is>
      </c>
      <c r="C284" t="inlineStr">
        <is>
          <t>Föryngringsavverkning</t>
        </is>
      </c>
      <c r="D284" s="1" t="n">
        <v>45226</v>
      </c>
      <c r="E284" s="1" t="n">
        <v>46218</v>
      </c>
      <c r="F284" t="inlineStr">
        <is>
          <t>ÖSTERGÖTLANDS LÄN</t>
        </is>
      </c>
      <c r="G284" t="inlineStr">
        <is>
          <t>BOXHOLM</t>
        </is>
      </c>
      <c r="I284" t="n">
        <v>2.8</v>
      </c>
      <c r="J284" t="n">
        <v>0</v>
      </c>
      <c r="K284" t="n">
        <v>0</v>
      </c>
      <c r="L284" t="n">
        <v>0</v>
      </c>
      <c r="M284" t="n">
        <v>0</v>
      </c>
      <c r="N284" t="n">
        <v>0</v>
      </c>
      <c r="O284" t="n">
        <v>0</v>
      </c>
      <c r="P284" t="n">
        <v>0</v>
      </c>
      <c r="Q284" t="n">
        <v>0</v>
      </c>
      <c r="R284" t="n">
        <v>0</v>
      </c>
      <c r="S284" t="n">
        <v>0</v>
      </c>
      <c r="T284" t="n">
        <v>0</v>
      </c>
      <c r="U284" s="2" t="inlineStr"/>
    </row>
    <row r="285" ht="15" customHeight="1">
      <c r="A285" t="inlineStr">
        <is>
          <t>A 2203-2026</t>
        </is>
      </c>
      <c r="B285" t="inlineStr">
        <is>
          <t>avverkningsanmälan</t>
        </is>
      </c>
      <c r="C285" t="inlineStr">
        <is>
          <t>Föryngringsavverkning</t>
        </is>
      </c>
      <c r="D285" s="1" t="n">
        <v>46036</v>
      </c>
      <c r="E285" s="1" t="n">
        <v>46218</v>
      </c>
      <c r="F285" t="inlineStr">
        <is>
          <t>ÖSTERGÖTLANDS LÄN</t>
        </is>
      </c>
      <c r="G285" t="inlineStr">
        <is>
          <t>BOXHOLM</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28233-2026</t>
        </is>
      </c>
      <c r="B286" t="inlineStr">
        <is>
          <t>avverkningsanmälan</t>
        </is>
      </c>
      <c r="C286" t="inlineStr">
        <is>
          <t>Föryngringsavverkning</t>
        </is>
      </c>
      <c r="D286" s="1" t="n">
        <v>46196</v>
      </c>
      <c r="E286" s="1" t="n">
        <v>46218</v>
      </c>
      <c r="F286" t="inlineStr">
        <is>
          <t>ÖSTERGÖTLANDS LÄN</t>
        </is>
      </c>
      <c r="G286" t="inlineStr">
        <is>
          <t>BOXHOLM</t>
        </is>
      </c>
      <c r="H286" t="inlineStr">
        <is>
          <t>Övriga Aktiebolag</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53316-2024</t>
        </is>
      </c>
      <c r="B287" t="inlineStr">
        <is>
          <t>avverkningsanmälan</t>
        </is>
      </c>
      <c r="C287" t="inlineStr">
        <is>
          <t>Föryngringsavverkning</t>
        </is>
      </c>
      <c r="D287" s="1" t="n">
        <v>45614</v>
      </c>
      <c r="E287" s="1" t="n">
        <v>46218</v>
      </c>
      <c r="F287" t="inlineStr">
        <is>
          <t>ÖSTERGÖTLANDS LÄN</t>
        </is>
      </c>
      <c r="G287" t="inlineStr">
        <is>
          <t>BOXHOLM</t>
        </is>
      </c>
      <c r="H287" t="inlineStr">
        <is>
          <t>Övriga Aktiebolag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15526-2023</t>
        </is>
      </c>
      <c r="B288" t="inlineStr">
        <is>
          <t>avverkningsanmälan</t>
        </is>
      </c>
      <c r="C288" t="inlineStr">
        <is>
          <t>Föryngringsavverkning</t>
        </is>
      </c>
      <c r="D288" s="1" t="n">
        <v>45020</v>
      </c>
      <c r="E288" s="1" t="n">
        <v>46218</v>
      </c>
      <c r="F288" t="inlineStr">
        <is>
          <t>ÖSTERGÖTLANDS LÄN</t>
        </is>
      </c>
      <c r="G288" t="inlineStr">
        <is>
          <t>BOXHOLM</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28865-2026</t>
        </is>
      </c>
      <c r="B289" t="inlineStr">
        <is>
          <t>avverkningsanmälan</t>
        </is>
      </c>
      <c r="C289" t="inlineStr">
        <is>
          <t>Föryngringsavverkning</t>
        </is>
      </c>
      <c r="D289" s="1" t="n">
        <v>46199</v>
      </c>
      <c r="E289" s="1" t="n">
        <v>46218</v>
      </c>
      <c r="F289" t="inlineStr">
        <is>
          <t>ÖSTERGÖTLANDS LÄN</t>
        </is>
      </c>
      <c r="G289" t="inlineStr">
        <is>
          <t>BOXHOLM</t>
        </is>
      </c>
      <c r="I289" t="n">
        <v>3.4</v>
      </c>
      <c r="J289" t="n">
        <v>0</v>
      </c>
      <c r="K289" t="n">
        <v>0</v>
      </c>
      <c r="L289" t="n">
        <v>0</v>
      </c>
      <c r="M289" t="n">
        <v>0</v>
      </c>
      <c r="N289" t="n">
        <v>0</v>
      </c>
      <c r="O289" t="n">
        <v>0</v>
      </c>
      <c r="P289" t="n">
        <v>0</v>
      </c>
      <c r="Q289" t="n">
        <v>0</v>
      </c>
      <c r="R289" t="n">
        <v>0</v>
      </c>
      <c r="S289" t="n">
        <v>0</v>
      </c>
      <c r="T289" t="n">
        <v>0</v>
      </c>
      <c r="U289" s="2" t="inlineStr"/>
    </row>
    <row r="290" ht="15" customHeight="1">
      <c r="A290" t="inlineStr">
        <is>
          <t>A 4005-2026</t>
        </is>
      </c>
      <c r="B290" t="inlineStr">
        <is>
          <t>avverkningsanmälan</t>
        </is>
      </c>
      <c r="C290" t="inlineStr">
        <is>
          <t>Föryngringsavverkning</t>
        </is>
      </c>
      <c r="D290" s="1" t="n">
        <v>46044</v>
      </c>
      <c r="E290" s="1" t="n">
        <v>46218</v>
      </c>
      <c r="F290" t="inlineStr">
        <is>
          <t>ÖSTERGÖTLANDS LÄN</t>
        </is>
      </c>
      <c r="G290" t="inlineStr">
        <is>
          <t>BOXHOLM</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27647-2023</t>
        </is>
      </c>
      <c r="B291" t="inlineStr">
        <is>
          <t>avverkningsanmälan</t>
        </is>
      </c>
      <c r="C291" t="inlineStr">
        <is>
          <t>Föryngringsavverkning</t>
        </is>
      </c>
      <c r="D291" s="1" t="n">
        <v>45097</v>
      </c>
      <c r="E291" s="1" t="n">
        <v>46218</v>
      </c>
      <c r="F291" t="inlineStr">
        <is>
          <t>ÖSTERGÖTLANDS LÄN</t>
        </is>
      </c>
      <c r="G291" t="inlineStr">
        <is>
          <t>BOXHOLM</t>
        </is>
      </c>
      <c r="H291" t="inlineStr">
        <is>
          <t>Allmännings- och besparingsskogar</t>
        </is>
      </c>
      <c r="I291" t="n">
        <v>7.8</v>
      </c>
      <c r="J291" t="n">
        <v>0</v>
      </c>
      <c r="K291" t="n">
        <v>0</v>
      </c>
      <c r="L291" t="n">
        <v>0</v>
      </c>
      <c r="M291" t="n">
        <v>0</v>
      </c>
      <c r="N291" t="n">
        <v>0</v>
      </c>
      <c r="O291" t="n">
        <v>0</v>
      </c>
      <c r="P291" t="n">
        <v>0</v>
      </c>
      <c r="Q291" t="n">
        <v>0</v>
      </c>
      <c r="R291" t="n">
        <v>0</v>
      </c>
      <c r="S291" t="n">
        <v>0</v>
      </c>
      <c r="T291" t="n">
        <v>0</v>
      </c>
      <c r="U291" s="2" t="inlineStr"/>
    </row>
    <row r="292" ht="15" customHeight="1">
      <c r="A292" t="inlineStr">
        <is>
          <t>A 27816-2025</t>
        </is>
      </c>
      <c r="B292" t="inlineStr">
        <is>
          <t>avverkningsanmälan</t>
        </is>
      </c>
      <c r="C292" t="inlineStr">
        <is>
          <t>Avverkning för annat ändamål</t>
        </is>
      </c>
      <c r="D292" s="1" t="n">
        <v>45817</v>
      </c>
      <c r="E292" s="1" t="n">
        <v>46218</v>
      </c>
      <c r="F292" t="inlineStr">
        <is>
          <t>ÖSTERGÖTLANDS LÄN</t>
        </is>
      </c>
      <c r="G292" t="inlineStr">
        <is>
          <t>BOXHOLM</t>
        </is>
      </c>
      <c r="I292" t="n">
        <v>1.5</v>
      </c>
      <c r="J292" t="n">
        <v>0</v>
      </c>
      <c r="K292" t="n">
        <v>0</v>
      </c>
      <c r="L292" t="n">
        <v>0</v>
      </c>
      <c r="M292" t="n">
        <v>0</v>
      </c>
      <c r="N292" t="n">
        <v>0</v>
      </c>
      <c r="O292" t="n">
        <v>0</v>
      </c>
      <c r="P292" t="n">
        <v>0</v>
      </c>
      <c r="Q292" t="n">
        <v>0</v>
      </c>
      <c r="R292" t="n">
        <v>0</v>
      </c>
      <c r="S292" t="n">
        <v>0</v>
      </c>
      <c r="T292" t="n">
        <v>0</v>
      </c>
      <c r="U292" s="2" t="inlineStr"/>
    </row>
    <row r="293" ht="15" customHeight="1">
      <c r="A293" t="inlineStr">
        <is>
          <t>A 11850-2026</t>
        </is>
      </c>
      <c r="B293" t="inlineStr">
        <is>
          <t>avverkningsanmälan</t>
        </is>
      </c>
      <c r="C293" t="inlineStr">
        <is>
          <t>Avverkning för annat ändamål</t>
        </is>
      </c>
      <c r="D293" s="1" t="n">
        <v>46085</v>
      </c>
      <c r="E293" s="1" t="n">
        <v>46218</v>
      </c>
      <c r="F293" t="inlineStr">
        <is>
          <t>ÖSTERGÖTLANDS LÄN</t>
        </is>
      </c>
      <c r="G293" t="inlineStr">
        <is>
          <t>BOXHOLM</t>
        </is>
      </c>
      <c r="I293" t="n">
        <v>1.3</v>
      </c>
      <c r="J293" t="n">
        <v>0</v>
      </c>
      <c r="K293" t="n">
        <v>0</v>
      </c>
      <c r="L293" t="n">
        <v>0</v>
      </c>
      <c r="M293" t="n">
        <v>0</v>
      </c>
      <c r="N293" t="n">
        <v>0</v>
      </c>
      <c r="O293" t="n">
        <v>0</v>
      </c>
      <c r="P293" t="n">
        <v>0</v>
      </c>
      <c r="Q293" t="n">
        <v>0</v>
      </c>
      <c r="R293" t="n">
        <v>0</v>
      </c>
      <c r="S293" t="n">
        <v>0</v>
      </c>
      <c r="T293" t="n">
        <v>0</v>
      </c>
      <c r="U293" s="2" t="inlineStr"/>
    </row>
    <row r="294" ht="15" customHeight="1">
      <c r="A294" t="inlineStr">
        <is>
          <t>A 37405-2023</t>
        </is>
      </c>
      <c r="B294" t="inlineStr">
        <is>
          <t>avverkningsanmälan</t>
        </is>
      </c>
      <c r="C294" t="inlineStr">
        <is>
          <t>Föryngringsavverkning</t>
        </is>
      </c>
      <c r="D294" s="1" t="n">
        <v>45156</v>
      </c>
      <c r="E294" s="1" t="n">
        <v>46218</v>
      </c>
      <c r="F294" t="inlineStr">
        <is>
          <t>ÖSTERGÖTLANDS LÄN</t>
        </is>
      </c>
      <c r="G294" t="inlineStr">
        <is>
          <t>BOXHOLM</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2273-2025</t>
        </is>
      </c>
      <c r="B295" t="inlineStr">
        <is>
          <t>avverkningsanmälan</t>
        </is>
      </c>
      <c r="C295" t="inlineStr">
        <is>
          <t>Avverkning för annat ändamål</t>
        </is>
      </c>
      <c r="D295" s="1" t="n">
        <v>45673</v>
      </c>
      <c r="E295" s="1" t="n">
        <v>46218</v>
      </c>
      <c r="F295" t="inlineStr">
        <is>
          <t>ÖSTERGÖTLANDS LÄN</t>
        </is>
      </c>
      <c r="G295" t="inlineStr">
        <is>
          <t>BOXHOLM</t>
        </is>
      </c>
      <c r="H295" t="inlineStr">
        <is>
          <t>Övriga Aktiebolag</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29976-2026</t>
        </is>
      </c>
      <c r="B296" t="inlineStr">
        <is>
          <t>avverkningsanmälan</t>
        </is>
      </c>
      <c r="C296" t="inlineStr">
        <is>
          <t>Föryngringsavverkning</t>
        </is>
      </c>
      <c r="D296" s="1" t="n">
        <v>46205</v>
      </c>
      <c r="E296" s="1" t="n">
        <v>46218</v>
      </c>
      <c r="F296" t="inlineStr">
        <is>
          <t>ÖSTERGÖTLANDS LÄN</t>
        </is>
      </c>
      <c r="G296" t="inlineStr">
        <is>
          <t>BOXHOLM</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29974-2026</t>
        </is>
      </c>
      <c r="B297" t="inlineStr">
        <is>
          <t>avverkningsanmälan</t>
        </is>
      </c>
      <c r="C297" t="inlineStr">
        <is>
          <t>Föryngringsavverkning</t>
        </is>
      </c>
      <c r="D297" s="1" t="n">
        <v>46205</v>
      </c>
      <c r="E297" s="1" t="n">
        <v>46218</v>
      </c>
      <c r="F297" t="inlineStr">
        <is>
          <t>ÖSTERGÖTLANDS LÄN</t>
        </is>
      </c>
      <c r="G297" t="inlineStr">
        <is>
          <t>BOXHOLM</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29975-2026</t>
        </is>
      </c>
      <c r="B298" t="inlineStr">
        <is>
          <t>avverkningsanmälan</t>
        </is>
      </c>
      <c r="C298" t="inlineStr">
        <is>
          <t>Föryngringsavverkning</t>
        </is>
      </c>
      <c r="D298" s="1" t="n">
        <v>46205</v>
      </c>
      <c r="E298" s="1" t="n">
        <v>46218</v>
      </c>
      <c r="F298" t="inlineStr">
        <is>
          <t>ÖSTERGÖTLANDS LÄN</t>
        </is>
      </c>
      <c r="G298" t="inlineStr">
        <is>
          <t>BOXHOLM</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29977-2026</t>
        </is>
      </c>
      <c r="B299" t="inlineStr">
        <is>
          <t>avverkningsanmälan</t>
        </is>
      </c>
      <c r="C299" t="inlineStr">
        <is>
          <t>Föryngringsavverkning</t>
        </is>
      </c>
      <c r="D299" s="1" t="n">
        <v>46205</v>
      </c>
      <c r="E299" s="1" t="n">
        <v>46218</v>
      </c>
      <c r="F299" t="inlineStr">
        <is>
          <t>ÖSTERGÖTLANDS LÄN</t>
        </is>
      </c>
      <c r="G299" t="inlineStr">
        <is>
          <t>BOXHOLM</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8948-2026</t>
        </is>
      </c>
      <c r="B300" t="inlineStr">
        <is>
          <t>avverkningsanmälan</t>
        </is>
      </c>
      <c r="C300" t="inlineStr">
        <is>
          <t>Föryngringsavverkning</t>
        </is>
      </c>
      <c r="D300" s="1" t="n">
        <v>46069</v>
      </c>
      <c r="E300" s="1" t="n">
        <v>46218</v>
      </c>
      <c r="F300" t="inlineStr">
        <is>
          <t>ÖSTERGÖTLANDS LÄN</t>
        </is>
      </c>
      <c r="G300" t="inlineStr">
        <is>
          <t>BOXHOLM</t>
        </is>
      </c>
      <c r="H300" t="inlineStr">
        <is>
          <t>Övriga Aktiebolag</t>
        </is>
      </c>
      <c r="I300" t="n">
        <v>3.6</v>
      </c>
      <c r="J300" t="n">
        <v>0</v>
      </c>
      <c r="K300" t="n">
        <v>0</v>
      </c>
      <c r="L300" t="n">
        <v>0</v>
      </c>
      <c r="M300" t="n">
        <v>0</v>
      </c>
      <c r="N300" t="n">
        <v>0</v>
      </c>
      <c r="O300" t="n">
        <v>0</v>
      </c>
      <c r="P300" t="n">
        <v>0</v>
      </c>
      <c r="Q300" t="n">
        <v>0</v>
      </c>
      <c r="R300" t="n">
        <v>0</v>
      </c>
      <c r="S300" t="n">
        <v>0</v>
      </c>
      <c r="T300" t="n">
        <v>0</v>
      </c>
      <c r="U300" s="2" t="inlineStr"/>
    </row>
    <row r="301" ht="15" customHeight="1">
      <c r="A301" t="inlineStr">
        <is>
          <t>A 23831-2026</t>
        </is>
      </c>
      <c r="B301" t="inlineStr">
        <is>
          <t>avverkningsanmälan</t>
        </is>
      </c>
      <c r="C301" t="inlineStr">
        <is>
          <t>Föryngringsavverkning</t>
        </is>
      </c>
      <c r="D301" s="1" t="n">
        <v>46167</v>
      </c>
      <c r="E301" s="1" t="n">
        <v>46218</v>
      </c>
      <c r="F301" t="inlineStr">
        <is>
          <t>ÖSTERGÖTLANDS LÄN</t>
        </is>
      </c>
      <c r="G301" t="inlineStr">
        <is>
          <t>BOXHOLM</t>
        </is>
      </c>
      <c r="H301" t="inlineStr">
        <is>
          <t>Övriga Aktiebolag</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26648-2025</t>
        </is>
      </c>
      <c r="B302" t="inlineStr">
        <is>
          <t>avverkningsanmälan</t>
        </is>
      </c>
      <c r="C302" t="inlineStr">
        <is>
          <t>Föryngringsavverkning</t>
        </is>
      </c>
      <c r="D302" s="1" t="n">
        <v>45809</v>
      </c>
      <c r="E302" s="1" t="n">
        <v>46218</v>
      </c>
      <c r="F302" t="inlineStr">
        <is>
          <t>ÖSTERGÖTLANDS LÄN</t>
        </is>
      </c>
      <c r="G302" t="inlineStr">
        <is>
          <t>BOXHOLM</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9422-2026</t>
        </is>
      </c>
      <c r="B303" t="inlineStr">
        <is>
          <t>avverkningsanmälan</t>
        </is>
      </c>
      <c r="C303" t="inlineStr">
        <is>
          <t>Föryngringsavverkning</t>
        </is>
      </c>
      <c r="D303" s="1" t="n">
        <v>46071</v>
      </c>
      <c r="E303" s="1" t="n">
        <v>46218</v>
      </c>
      <c r="F303" t="inlineStr">
        <is>
          <t>ÖSTERGÖTLANDS LÄN</t>
        </is>
      </c>
      <c r="G303" t="inlineStr">
        <is>
          <t>BOXHOLM</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15386-2025</t>
        </is>
      </c>
      <c r="B304" t="inlineStr">
        <is>
          <t>avverkningsanmälan</t>
        </is>
      </c>
      <c r="C304" t="inlineStr">
        <is>
          <t>Avverkning för att bevara och utveckla /försöksver</t>
        </is>
      </c>
      <c r="D304" s="1" t="n">
        <v>45747</v>
      </c>
      <c r="E304" s="1" t="n">
        <v>46218</v>
      </c>
      <c r="F304" t="inlineStr">
        <is>
          <t>ÖSTERGÖTLANDS LÄN</t>
        </is>
      </c>
      <c r="G304" t="inlineStr">
        <is>
          <t>BOXHOLM</t>
        </is>
      </c>
      <c r="H304" t="inlineStr">
        <is>
          <t>Övriga Aktiebolag</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11304-2026</t>
        </is>
      </c>
      <c r="B305" t="inlineStr">
        <is>
          <t>avverkningsanmälan</t>
        </is>
      </c>
      <c r="C305" t="inlineStr">
        <is>
          <t>Föryngringsavverkning</t>
        </is>
      </c>
      <c r="D305" s="1" t="n">
        <v>46080</v>
      </c>
      <c r="E305" s="1" t="n">
        <v>46218</v>
      </c>
      <c r="F305" t="inlineStr">
        <is>
          <t>ÖSTERGÖTLANDS LÄN</t>
        </is>
      </c>
      <c r="G305" t="inlineStr">
        <is>
          <t>BOXHOLM</t>
        </is>
      </c>
      <c r="H305" t="inlineStr">
        <is>
          <t>Allmännings- och besparingsskogar</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56125-2025</t>
        </is>
      </c>
      <c r="B306" t="inlineStr">
        <is>
          <t>avverkningsanmälan</t>
        </is>
      </c>
      <c r="C306" t="inlineStr">
        <is>
          <t>Föryngringsavverkning</t>
        </is>
      </c>
      <c r="D306" s="1" t="n">
        <v>45973</v>
      </c>
      <c r="E306" s="1" t="n">
        <v>46218</v>
      </c>
      <c r="F306" t="inlineStr">
        <is>
          <t>ÖSTERGÖTLANDS LÄN</t>
        </is>
      </c>
      <c r="G306" t="inlineStr">
        <is>
          <t>BOXHOLM</t>
        </is>
      </c>
      <c r="H306" t="inlineStr">
        <is>
          <t>Övriga Aktiebolag</t>
        </is>
      </c>
      <c r="I306" t="n">
        <v>7.1</v>
      </c>
      <c r="J306" t="n">
        <v>0</v>
      </c>
      <c r="K306" t="n">
        <v>0</v>
      </c>
      <c r="L306" t="n">
        <v>0</v>
      </c>
      <c r="M306" t="n">
        <v>0</v>
      </c>
      <c r="N306" t="n">
        <v>0</v>
      </c>
      <c r="O306" t="n">
        <v>0</v>
      </c>
      <c r="P306" t="n">
        <v>0</v>
      </c>
      <c r="Q306" t="n">
        <v>0</v>
      </c>
      <c r="R306" t="n">
        <v>0</v>
      </c>
      <c r="S306" t="n">
        <v>0</v>
      </c>
      <c r="T306" t="n">
        <v>0</v>
      </c>
      <c r="U306" s="2" t="inlineStr"/>
    </row>
    <row r="307" ht="15" customHeight="1">
      <c r="A307" t="inlineStr">
        <is>
          <t>A 14789-2026</t>
        </is>
      </c>
      <c r="B307" t="inlineStr">
        <is>
          <t>avverkningsanmälan</t>
        </is>
      </c>
      <c r="C307" t="inlineStr">
        <is>
          <t>Avverkning för att bevara och utveckla /försöksver</t>
        </is>
      </c>
      <c r="D307" s="1" t="n">
        <v>46101</v>
      </c>
      <c r="E307" s="1" t="n">
        <v>46218</v>
      </c>
      <c r="F307" t="inlineStr">
        <is>
          <t>ÖSTERGÖTLANDS LÄN</t>
        </is>
      </c>
      <c r="G307" t="inlineStr">
        <is>
          <t>BOXHOLM</t>
        </is>
      </c>
      <c r="H307" t="inlineStr">
        <is>
          <t>Övriga Aktiebolag</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25470-2026</t>
        </is>
      </c>
      <c r="B308" t="inlineStr">
        <is>
          <t>avverkningsanmälan</t>
        </is>
      </c>
      <c r="C308" t="inlineStr">
        <is>
          <t>Föryngringsavverkning</t>
        </is>
      </c>
      <c r="D308" s="1" t="n">
        <v>46177</v>
      </c>
      <c r="E308" s="1" t="n">
        <v>46218</v>
      </c>
      <c r="F308" t="inlineStr">
        <is>
          <t>ÖSTERGÖTLANDS LÄN</t>
        </is>
      </c>
      <c r="G308" t="inlineStr">
        <is>
          <t>BOXHOLM</t>
        </is>
      </c>
      <c r="H308" t="inlineStr">
        <is>
          <t>Kyrkan</t>
        </is>
      </c>
      <c r="I308" t="n">
        <v>13.8</v>
      </c>
      <c r="J308" t="n">
        <v>0</v>
      </c>
      <c r="K308" t="n">
        <v>0</v>
      </c>
      <c r="L308" t="n">
        <v>0</v>
      </c>
      <c r="M308" t="n">
        <v>0</v>
      </c>
      <c r="N308" t="n">
        <v>0</v>
      </c>
      <c r="O308" t="n">
        <v>0</v>
      </c>
      <c r="P308" t="n">
        <v>0</v>
      </c>
      <c r="Q308" t="n">
        <v>0</v>
      </c>
      <c r="R308" t="n">
        <v>0</v>
      </c>
      <c r="S308" t="n">
        <v>0</v>
      </c>
      <c r="T308" t="n">
        <v>0</v>
      </c>
      <c r="U308" s="2" t="inlineStr"/>
    </row>
    <row r="309" ht="15" customHeight="1">
      <c r="A309" t="inlineStr">
        <is>
          <t>A 957-2024</t>
        </is>
      </c>
      <c r="B309" t="inlineStr">
        <is>
          <t>avverkningsanmälan</t>
        </is>
      </c>
      <c r="C309" t="inlineStr">
        <is>
          <t>Föryngringsavverkning</t>
        </is>
      </c>
      <c r="D309" s="1" t="n">
        <v>45301</v>
      </c>
      <c r="E309" s="1" t="n">
        <v>46218</v>
      </c>
      <c r="F309" t="inlineStr">
        <is>
          <t>ÖSTERGÖTLANDS LÄN</t>
        </is>
      </c>
      <c r="G309" t="inlineStr">
        <is>
          <t>BOXHOLM</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7061-2024</t>
        </is>
      </c>
      <c r="B310" t="inlineStr">
        <is>
          <t>avverkningsanmälan</t>
        </is>
      </c>
      <c r="C310" t="inlineStr">
        <is>
          <t>Föryngringsavverkning</t>
        </is>
      </c>
      <c r="D310" s="1" t="n">
        <v>45343</v>
      </c>
      <c r="E310" s="1" t="n">
        <v>46218</v>
      </c>
      <c r="F310" t="inlineStr">
        <is>
          <t>ÖSTERGÖTLANDS LÄN</t>
        </is>
      </c>
      <c r="G310" t="inlineStr">
        <is>
          <t>BOXHOLM</t>
        </is>
      </c>
      <c r="H310" t="inlineStr">
        <is>
          <t>Allmännings- och besparingsskogar</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46237-2024</t>
        </is>
      </c>
      <c r="B311" t="inlineStr">
        <is>
          <t>avverkningsanmälan</t>
        </is>
      </c>
      <c r="C311" t="inlineStr">
        <is>
          <t>Föryngringsavverkning</t>
        </is>
      </c>
      <c r="D311" s="1" t="n">
        <v>45581</v>
      </c>
      <c r="E311" s="1" t="n">
        <v>46218</v>
      </c>
      <c r="F311" t="inlineStr">
        <is>
          <t>ÖSTERGÖTLANDS LÄN</t>
        </is>
      </c>
      <c r="G311" t="inlineStr">
        <is>
          <t>BOXHOLM</t>
        </is>
      </c>
      <c r="I311" t="n">
        <v>6.2</v>
      </c>
      <c r="J311" t="n">
        <v>0</v>
      </c>
      <c r="K311" t="n">
        <v>0</v>
      </c>
      <c r="L311" t="n">
        <v>0</v>
      </c>
      <c r="M311" t="n">
        <v>0</v>
      </c>
      <c r="N311" t="n">
        <v>0</v>
      </c>
      <c r="O311" t="n">
        <v>0</v>
      </c>
      <c r="P311" t="n">
        <v>0</v>
      </c>
      <c r="Q311" t="n">
        <v>0</v>
      </c>
      <c r="R311" t="n">
        <v>0</v>
      </c>
      <c r="S311" t="n">
        <v>0</v>
      </c>
      <c r="T311" t="n">
        <v>0</v>
      </c>
      <c r="U311" s="2" t="inlineStr"/>
    </row>
    <row r="312" ht="15" customHeight="1">
      <c r="A312" t="inlineStr">
        <is>
          <t>A 49119-2025</t>
        </is>
      </c>
      <c r="B312" t="inlineStr">
        <is>
          <t>avverkningsanmälan</t>
        </is>
      </c>
      <c r="C312" t="inlineStr">
        <is>
          <t>Föryngringsavverkning</t>
        </is>
      </c>
      <c r="D312" s="1" t="n">
        <v>45937</v>
      </c>
      <c r="E312" s="1" t="n">
        <v>46218</v>
      </c>
      <c r="F312" t="inlineStr">
        <is>
          <t>ÖSTERGÖTLANDS LÄN</t>
        </is>
      </c>
      <c r="G312" t="inlineStr">
        <is>
          <t>BOXHOLM</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S 3421-2024</t>
        </is>
      </c>
      <c r="B313" t="inlineStr">
        <is>
          <t>samrådsanmälan</t>
        </is>
      </c>
      <c r="C313" t="inlineStr">
        <is>
          <t>Annan skogsbruksåtgärd</t>
        </is>
      </c>
      <c r="D313" s="1" t="n">
        <v>45537</v>
      </c>
      <c r="E313" s="1" t="n">
        <v>46218</v>
      </c>
      <c r="F313" t="inlineStr">
        <is>
          <t>ÖSTERGÖTLANDS LÄN</t>
        </is>
      </c>
      <c r="G313" t="inlineStr">
        <is>
          <t>BOXHOLM</t>
        </is>
      </c>
      <c r="H313" t="inlineStr">
        <is>
          <t>Övriga Aktiebolag</t>
        </is>
      </c>
      <c r="I313" t="n">
        <v>3.1</v>
      </c>
      <c r="J313" t="n">
        <v>0</v>
      </c>
      <c r="K313" t="n">
        <v>0</v>
      </c>
      <c r="L313" t="n">
        <v>0</v>
      </c>
      <c r="M313" t="n">
        <v>0</v>
      </c>
      <c r="N313" t="n">
        <v>0</v>
      </c>
      <c r="O313" t="n">
        <v>0</v>
      </c>
      <c r="P313" t="n">
        <v>0</v>
      </c>
      <c r="Q313" t="n">
        <v>0</v>
      </c>
      <c r="R313" t="n">
        <v>0</v>
      </c>
      <c r="S313" t="n">
        <v>0</v>
      </c>
      <c r="T313" t="n">
        <v>0</v>
      </c>
      <c r="U313" s="2" t="inlineStr"/>
    </row>
    <row r="314" ht="15" customHeight="1">
      <c r="A314" t="inlineStr">
        <is>
          <t>S 2704-2025</t>
        </is>
      </c>
      <c r="B314" t="inlineStr">
        <is>
          <t>samrådsanmälan</t>
        </is>
      </c>
      <c r="C314" t="inlineStr">
        <is>
          <t>Annan skogsbruksåtgärd</t>
        </is>
      </c>
      <c r="D314" s="1" t="n">
        <v>45929</v>
      </c>
      <c r="E314" s="1" t="n">
        <v>46218</v>
      </c>
      <c r="F314" t="inlineStr">
        <is>
          <t>ÖSTERGÖTLANDS LÄN</t>
        </is>
      </c>
      <c r="G314" t="inlineStr">
        <is>
          <t>BOXHOLM</t>
        </is>
      </c>
      <c r="I314" t="n">
        <v>0.9</v>
      </c>
      <c r="J314" t="n">
        <v>0</v>
      </c>
      <c r="K314" t="n">
        <v>0</v>
      </c>
      <c r="L314" t="n">
        <v>0</v>
      </c>
      <c r="M314" t="n">
        <v>0</v>
      </c>
      <c r="N314" t="n">
        <v>0</v>
      </c>
      <c r="O314" t="n">
        <v>0</v>
      </c>
      <c r="P314" t="n">
        <v>0</v>
      </c>
      <c r="Q314" t="n">
        <v>0</v>
      </c>
      <c r="R314" t="n">
        <v>0</v>
      </c>
      <c r="S314" t="n">
        <v>0</v>
      </c>
      <c r="T314" t="n">
        <v>0</v>
      </c>
      <c r="U314" s="2" t="inlineStr"/>
    </row>
    <row r="315" ht="15" customHeight="1">
      <c r="A315" t="inlineStr">
        <is>
          <t>S 2850-2025</t>
        </is>
      </c>
      <c r="B315" t="inlineStr">
        <is>
          <t>samrådsanmälan</t>
        </is>
      </c>
      <c r="C315" t="inlineStr">
        <is>
          <t>Annan skogsbruksåtgärd</t>
        </is>
      </c>
      <c r="D315" s="1" t="n">
        <v>45943</v>
      </c>
      <c r="E315" s="1" t="n">
        <v>46218</v>
      </c>
      <c r="F315" t="inlineStr">
        <is>
          <t>ÖSTERGÖTLANDS LÄN</t>
        </is>
      </c>
      <c r="G315" t="inlineStr">
        <is>
          <t>BOXHOLM</t>
        </is>
      </c>
      <c r="H315" t="inlineStr">
        <is>
          <t>Övriga Aktiebolag</t>
        </is>
      </c>
      <c r="I315" t="n">
        <v>1.8</v>
      </c>
      <c r="J315" t="n">
        <v>0</v>
      </c>
      <c r="K315" t="n">
        <v>0</v>
      </c>
      <c r="L315" t="n">
        <v>0</v>
      </c>
      <c r="M315" t="n">
        <v>0</v>
      </c>
      <c r="N315" t="n">
        <v>0</v>
      </c>
      <c r="O315" t="n">
        <v>0</v>
      </c>
      <c r="P315" t="n">
        <v>0</v>
      </c>
      <c r="Q315" t="n">
        <v>0</v>
      </c>
      <c r="R315" t="n">
        <v>0</v>
      </c>
      <c r="S315" t="n">
        <v>0</v>
      </c>
      <c r="T315" t="n">
        <v>0</v>
      </c>
      <c r="U315" s="2" t="inlineStr"/>
    </row>
    <row r="316" ht="15" customHeight="1">
      <c r="A316" t="inlineStr">
        <is>
          <t>S 3421-2025</t>
        </is>
      </c>
      <c r="B316" t="inlineStr">
        <is>
          <t>samrådsanmälan</t>
        </is>
      </c>
      <c r="C316" t="inlineStr">
        <is>
          <t>Annan skogsbruksåtgärd</t>
        </is>
      </c>
      <c r="D316" s="1" t="n">
        <v>45996</v>
      </c>
      <c r="E316" s="1" t="n">
        <v>46218</v>
      </c>
      <c r="F316" t="inlineStr">
        <is>
          <t>ÖSTERGÖTLANDS LÄN</t>
        </is>
      </c>
      <c r="G316" t="inlineStr">
        <is>
          <t>BOXHOLM</t>
        </is>
      </c>
      <c r="H316" t="inlineStr">
        <is>
          <t>Övriga Aktiebolag</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S 3419-2025</t>
        </is>
      </c>
      <c r="B317" t="inlineStr">
        <is>
          <t>samrådsanmälan</t>
        </is>
      </c>
      <c r="C317" t="inlineStr">
        <is>
          <t>Annan skogsbruksåtgärd</t>
        </is>
      </c>
      <c r="D317" s="1" t="n">
        <v>45996</v>
      </c>
      <c r="E317" s="1" t="n">
        <v>46218</v>
      </c>
      <c r="F317" t="inlineStr">
        <is>
          <t>ÖSTERGÖTLANDS LÄN</t>
        </is>
      </c>
      <c r="G317" t="inlineStr">
        <is>
          <t>BOXHOLM</t>
        </is>
      </c>
      <c r="H317" t="inlineStr">
        <is>
          <t>Övriga Aktiebolag</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S 1747-2026</t>
        </is>
      </c>
      <c r="B318" t="inlineStr">
        <is>
          <t>samrådsanmälan</t>
        </is>
      </c>
      <c r="C318" t="inlineStr">
        <is>
          <t>Annan skogsbruksåtgärd</t>
        </is>
      </c>
      <c r="D318" s="1" t="n">
        <v>46189</v>
      </c>
      <c r="E318" s="1" t="n">
        <v>46218</v>
      </c>
      <c r="F318" t="inlineStr">
        <is>
          <t>ÖSTERGÖTLANDS LÄN</t>
        </is>
      </c>
      <c r="G318" t="inlineStr">
        <is>
          <t>BOXHOLM</t>
        </is>
      </c>
      <c r="H318" t="inlineStr">
        <is>
          <t>Övriga Aktiebolag</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S 1746-2026</t>
        </is>
      </c>
      <c r="B319" t="inlineStr">
        <is>
          <t>samrådsanmälan</t>
        </is>
      </c>
      <c r="C319" t="inlineStr">
        <is>
          <t>Annan skogsbruksåtgärd</t>
        </is>
      </c>
      <c r="D319" s="1" t="n">
        <v>46189</v>
      </c>
      <c r="E319" s="1" t="n">
        <v>46218</v>
      </c>
      <c r="F319" t="inlineStr">
        <is>
          <t>ÖSTERGÖTLANDS LÄN</t>
        </is>
      </c>
      <c r="G319" t="inlineStr">
        <is>
          <t>BOXHOLM</t>
        </is>
      </c>
      <c r="H319" t="inlineStr">
        <is>
          <t>Övriga Aktiebolag</t>
        </is>
      </c>
      <c r="I319" t="n">
        <v>0.7</v>
      </c>
      <c r="J319" t="n">
        <v>0</v>
      </c>
      <c r="K319" t="n">
        <v>0</v>
      </c>
      <c r="L319" t="n">
        <v>0</v>
      </c>
      <c r="M319" t="n">
        <v>0</v>
      </c>
      <c r="N319" t="n">
        <v>0</v>
      </c>
      <c r="O319" t="n">
        <v>0</v>
      </c>
      <c r="P319" t="n">
        <v>0</v>
      </c>
      <c r="Q319" t="n">
        <v>0</v>
      </c>
      <c r="R319" t="n">
        <v>0</v>
      </c>
      <c r="S319" t="n">
        <v>0</v>
      </c>
      <c r="T319" t="n">
        <v>0</v>
      </c>
      <c r="U319" s="2" t="inlineStr"/>
    </row>
    <row r="320">
      <c r="A320" t="inlineStr">
        <is>
          <t>S 1800-2026</t>
        </is>
      </c>
      <c r="B320" t="inlineStr">
        <is>
          <t>samrådsanmälan</t>
        </is>
      </c>
      <c r="C320" t="inlineStr">
        <is>
          <t>Annan skogsbruksåtgärd</t>
        </is>
      </c>
      <c r="D320" s="1" t="n">
        <v>46196</v>
      </c>
      <c r="E320" s="1" t="n">
        <v>46218</v>
      </c>
      <c r="F320" t="inlineStr">
        <is>
          <t>ÖSTERGÖTLANDS LÄN</t>
        </is>
      </c>
      <c r="G320" t="inlineStr">
        <is>
          <t>BOXHOLM</t>
        </is>
      </c>
      <c r="H320" t="inlineStr">
        <is>
          <t>Övriga Aktiebolag</t>
        </is>
      </c>
      <c r="I320" t="n">
        <v>3.4</v>
      </c>
      <c r="J320" t="n">
        <v>0</v>
      </c>
      <c r="K320" t="n">
        <v>0</v>
      </c>
      <c r="L320" t="n">
        <v>0</v>
      </c>
      <c r="M320" t="n">
        <v>0</v>
      </c>
      <c r="N320" t="n">
        <v>0</v>
      </c>
      <c r="O320" t="n">
        <v>0</v>
      </c>
      <c r="P320" t="n">
        <v>0</v>
      </c>
      <c r="Q320" t="n">
        <v>0</v>
      </c>
      <c r="R320" t="n">
        <v>0</v>
      </c>
      <c r="S320" t="n">
        <v>0</v>
      </c>
      <c r="T320" t="n">
        <v>0</v>
      </c>
      <c r="U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2026-07-15T01:24:11Z</dcterms:created>
  <dcterms:modified xmlns:dcterms="http://purl.org/dc/terms/" xmlns:xsi="http://www.w3.org/2001/XMLSchema-instance" xsi:type="dcterms:W3CDTF">2026-07-15T01:24:12Z</dcterms:modified>
</cp:coreProperties>
</file>