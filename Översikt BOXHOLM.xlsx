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3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6405-2022</t>
        </is>
      </c>
      <c r="B2" t="inlineStr">
        <is>
          <t>samrådsanmälan</t>
        </is>
      </c>
      <c r="C2" t="inlineStr">
        <is>
          <t>Askåterföring</t>
        </is>
      </c>
      <c r="D2" s="1" t="n">
        <v>44875</v>
      </c>
      <c r="E2" s="1" t="n">
        <v>46324</v>
      </c>
      <c r="F2" t="inlineStr">
        <is>
          <t>ÖSTERGÖTLANDS LÄN</t>
        </is>
      </c>
      <c r="G2" t="inlineStr">
        <is>
          <t>BOXHOLM</t>
        </is>
      </c>
      <c r="H2" t="inlineStr">
        <is>
          <t>Allmännings- och besparingsskogar</t>
        </is>
      </c>
      <c r="I2" t="n">
        <v>202.4</v>
      </c>
      <c r="J2" t="n">
        <v>24</v>
      </c>
      <c r="K2" t="n">
        <v>4</v>
      </c>
      <c r="L2" t="n">
        <v>12</v>
      </c>
      <c r="M2" t="n">
        <v>2</v>
      </c>
      <c r="N2" t="n">
        <v>0</v>
      </c>
      <c r="O2" t="n">
        <v>0</v>
      </c>
      <c r="P2" t="n">
        <v>0</v>
      </c>
      <c r="Q2" t="n">
        <v>14</v>
      </c>
      <c r="R2" t="n">
        <v>2</v>
      </c>
      <c r="S2" t="n">
        <v>30</v>
      </c>
      <c r="T2" t="n">
        <v>59</v>
      </c>
      <c r="U2" t="n">
        <v>38</v>
      </c>
      <c r="V2" s="2" t="inlineStr">
        <is>
          <t>Grönfink
Knärot
Björktrast
Duvhök
Entita
Grönsångare
Gulsparv
Göktyta
Ladusvala
Rödvingetrast
Skogshare
Staketflarnlav
Sädesärla
Talltita
Blodvaxing
Myskmadra
Sotlav
Sprödvaxing
Blåsippa
Spillkråka
Fiskgjuse
Gröngöling
Grönsiska
Kråka
Kungsfågel
Orre
Svartvit flugsnappare
Skogsödla
Gullviva
Revlummer</t>
        </is>
      </c>
      <c r="W2">
        <f>HYPERLINK("https://klasma.github.io/Logging_0560/artfynd/S 6405-2022 artfynd.xlsx", "S 6405-2022")</f>
        <v/>
      </c>
      <c r="X2">
        <f>HYPERLINK("https://klasma.github.io/Logging_0560/kartor/S 6405-2022 karta.png", "S 6405-2022")</f>
        <v/>
      </c>
      <c r="Y2">
        <f>HYPERLINK("https://klasma.github.io/Logging_0560/kartor_geotiff/S 6405-2022 georefererad karta.tif", "S 6405-2022")</f>
        <v/>
      </c>
      <c r="Z2">
        <f>HYPERLINK("https://klasma.github.io/Logging_0560/knärot/S 6405-2022 karta knärot.png", "S 6405-2022")</f>
        <v/>
      </c>
      <c r="AA2">
        <f>HYPERLINK("https://klasma.github.io/Logging_0560/klagomål/S 6405-2022 FSC-klagomål.docx", "S 6405-2022")</f>
        <v/>
      </c>
      <c r="AB2">
        <f>HYPERLINK("https://klasma.github.io/Logging_0560/klagomålsmail/S 6405-2022 FSC-klagomål mail.docx", "S 6405-2022")</f>
        <v/>
      </c>
      <c r="AC2">
        <f>HYPERLINK("https://klasma.github.io/Logging_0560/tillsyn/S 6405-2022 tillsynsbegäran.docx", "S 6405-2022")</f>
        <v/>
      </c>
      <c r="AD2">
        <f>HYPERLINK("https://klasma.github.io/Logging_0560/tillsynsmail/S 6405-2022 tillsynsbegäran mail.docx", "S 6405-2022")</f>
        <v/>
      </c>
      <c r="AE2">
        <f>HYPERLINK("https://klasma.github.io/Logging_0560/fåglar/S 6405-2022 prioriterade fågelarter.docx", "S 6405-2022")</f>
        <v/>
      </c>
    </row>
    <row r="3" ht="15" customHeight="1">
      <c r="A3" t="inlineStr">
        <is>
          <t>A 43468-2025</t>
        </is>
      </c>
      <c r="B3" t="inlineStr">
        <is>
          <t>avverkningsanmälan</t>
        </is>
      </c>
      <c r="C3" t="inlineStr">
        <is>
          <t>Avverkning för att bevara och utveckla /försöksver</t>
        </is>
      </c>
      <c r="D3" s="1" t="n">
        <v>45911</v>
      </c>
      <c r="E3" s="1" t="n">
        <v>46324</v>
      </c>
      <c r="F3" t="inlineStr">
        <is>
          <t>ÖSTERGÖTLANDS LÄN</t>
        </is>
      </c>
      <c r="G3" t="inlineStr">
        <is>
          <t>BOXHOLM</t>
        </is>
      </c>
      <c r="H3" t="inlineStr">
        <is>
          <t>Övriga Aktiebolag</t>
        </is>
      </c>
      <c r="I3" t="n">
        <v>3</v>
      </c>
      <c r="J3" t="n">
        <v>0</v>
      </c>
      <c r="K3" t="n">
        <v>15</v>
      </c>
      <c r="L3" t="n">
        <v>7</v>
      </c>
      <c r="M3" t="n">
        <v>2</v>
      </c>
      <c r="N3" t="n">
        <v>1</v>
      </c>
      <c r="O3" t="n">
        <v>0</v>
      </c>
      <c r="P3" t="n">
        <v>0</v>
      </c>
      <c r="Q3" t="n">
        <v>10</v>
      </c>
      <c r="R3" t="n">
        <v>3</v>
      </c>
      <c r="S3" t="n">
        <v>25</v>
      </c>
      <c r="T3" t="n">
        <v>28</v>
      </c>
      <c r="U3" t="n">
        <v>0</v>
      </c>
      <c r="V3" s="2" t="inlineStr">
        <is>
          <t>Skogsalm
Blek kraterlav
Klosterlav
Amphicyllis globiformis
Kandelabersvamp
Korthornad ögonbagge
Parknål
Rosa skärelav
Rödhalsad vedsvampbagge
Vedtrappmossa
Blåsfliksmossa
Fällmossa
Grov fjädermossa
Klippfrullania
Kornig nållav
Noshornsoxe
Slanklav
Sotlav
Stekelbock
Traslav
Trubbfjädermossa
Trädporella
Underviol
Vanlig flatbagge
Västlig hakmossa</t>
        </is>
      </c>
      <c r="W3">
        <f>HYPERLINK("https://klasma.github.io/Logging_0560/artfynd/A 43468-2025 artfynd.xlsx", "A 43468-2025")</f>
        <v/>
      </c>
      <c r="X3">
        <f>HYPERLINK("https://klasma.github.io/Logging_0560/kartor/A 43468-2025 karta.png", "A 43468-2025")</f>
        <v/>
      </c>
      <c r="Y3">
        <f>HYPERLINK("https://klasma.github.io/Logging_0560/kartor_geotiff/A 43468-2025 georefererad karta.tif", "A 43468-2025")</f>
        <v/>
      </c>
      <c r="AA3">
        <f>HYPERLINK("https://klasma.github.io/Logging_0560/klagomål/A 43468-2025 FSC-klagomål.docx", "A 43468-2025")</f>
        <v/>
      </c>
      <c r="AB3">
        <f>HYPERLINK("https://klasma.github.io/Logging_0560/klagomålsmail/A 43468-2025 FSC-klagomål mail.docx", "A 43468-2025")</f>
        <v/>
      </c>
      <c r="AC3">
        <f>HYPERLINK("https://klasma.github.io/Logging_0560/tillsyn/A 43468-2025 tillsynsbegäran.docx", "A 43468-2025")</f>
        <v/>
      </c>
      <c r="AD3">
        <f>HYPERLINK("https://klasma.github.io/Logging_0560/tillsynsmail/A 43468-2025 tillsynsbegäran mail.docx", "A 43468-2025")</f>
        <v/>
      </c>
    </row>
    <row r="4" ht="15" customHeight="1">
      <c r="A4" t="inlineStr">
        <is>
          <t>S 2493-2025</t>
        </is>
      </c>
      <c r="B4" t="inlineStr">
        <is>
          <t>samrådsanmälan</t>
        </is>
      </c>
      <c r="C4" t="inlineStr">
        <is>
          <t>Annan skogsbruksåtgärd</t>
        </is>
      </c>
      <c r="D4" s="1" t="n">
        <v>45904</v>
      </c>
      <c r="E4" s="1" t="n">
        <v>46324</v>
      </c>
      <c r="F4" t="inlineStr">
        <is>
          <t>ÖSTERGÖTLANDS LÄN</t>
        </is>
      </c>
      <c r="G4" t="inlineStr">
        <is>
          <t>BOXHOLM</t>
        </is>
      </c>
      <c r="H4" t="inlineStr">
        <is>
          <t>Övriga Aktiebolag</t>
        </is>
      </c>
      <c r="I4" t="n">
        <v>0.1</v>
      </c>
      <c r="J4" t="n">
        <v>1</v>
      </c>
      <c r="K4" t="n">
        <v>0</v>
      </c>
      <c r="L4" t="n">
        <v>6</v>
      </c>
      <c r="M4" t="n">
        <v>3</v>
      </c>
      <c r="N4" t="n">
        <v>1</v>
      </c>
      <c r="O4" t="n">
        <v>0</v>
      </c>
      <c r="P4" t="n">
        <v>0</v>
      </c>
      <c r="Q4" t="n">
        <v>10</v>
      </c>
      <c r="R4" t="n">
        <v>4</v>
      </c>
      <c r="S4" t="n">
        <v>10</v>
      </c>
      <c r="T4" t="n">
        <v>20</v>
      </c>
      <c r="U4" t="n">
        <v>1</v>
      </c>
      <c r="V4" s="2" t="inlineStr">
        <is>
          <t>Ärtvicker
Bredbrämad bastardsvärmare
Mindre bastardsvärmare
Smalsprötad bastardsvärmare
Bergjohannesört
Gullklöver
Klubbsprötad bastardsvärmare
Slåtterfibbla
Svinrot
Vippärt</t>
        </is>
      </c>
      <c r="W4">
        <f>HYPERLINK("https://klasma.github.io/Logging_0560/artfynd/S 2493-2025 artfynd.xlsx", "S 2493-2025")</f>
        <v/>
      </c>
      <c r="X4">
        <f>HYPERLINK("https://klasma.github.io/Logging_0560/kartor/S 2493-2025 karta.png", "S 2493-2025")</f>
        <v/>
      </c>
      <c r="Y4">
        <f>HYPERLINK("https://klasma.github.io/Logging_0560/kartor_geotiff/S 2493-2025 georefererad karta.tif", "S 2493-2025")</f>
        <v/>
      </c>
      <c r="AA4">
        <f>HYPERLINK("https://klasma.github.io/Logging_0560/klagomål/S 2493-2025 FSC-klagomål.docx", "S 2493-2025")</f>
        <v/>
      </c>
      <c r="AB4">
        <f>HYPERLINK("https://klasma.github.io/Logging_0560/klagomålsmail/S 2493-2025 FSC-klagomål mail.docx", "S 2493-2025")</f>
        <v/>
      </c>
      <c r="AC4">
        <f>HYPERLINK("https://klasma.github.io/Logging_0560/tillsyn/S 2493-2025 tillsynsbegäran.docx", "S 2493-2025")</f>
        <v/>
      </c>
      <c r="AD4">
        <f>HYPERLINK("https://klasma.github.io/Logging_0560/tillsynsmail/S 2493-2025 tillsynsbegäran mail.docx", "S 2493-2025")</f>
        <v/>
      </c>
    </row>
    <row r="5" ht="15" customHeight="1">
      <c r="A5" t="inlineStr">
        <is>
          <t>A 61791-2025</t>
        </is>
      </c>
      <c r="B5" t="inlineStr">
        <is>
          <t>avverkningsanmälan</t>
        </is>
      </c>
      <c r="C5" t="inlineStr">
        <is>
          <t>Föryngringsavverkning</t>
        </is>
      </c>
      <c r="D5" s="1" t="n">
        <v>46002</v>
      </c>
      <c r="E5" s="1" t="n">
        <v>46324</v>
      </c>
      <c r="F5" t="inlineStr">
        <is>
          <t>ÖSTERGÖTLANDS LÄN</t>
        </is>
      </c>
      <c r="G5" t="inlineStr">
        <is>
          <t>BOXHOLM</t>
        </is>
      </c>
      <c r="H5" t="inlineStr">
        <is>
          <t>Allmännings- och besparingsskogar</t>
        </is>
      </c>
      <c r="I5" t="n">
        <v>3.2</v>
      </c>
      <c r="J5" t="n">
        <v>8</v>
      </c>
      <c r="K5" t="n">
        <v>0</v>
      </c>
      <c r="L5" t="n">
        <v>2</v>
      </c>
      <c r="M5" t="n">
        <v>1</v>
      </c>
      <c r="N5" t="n">
        <v>0</v>
      </c>
      <c r="O5" t="n">
        <v>0</v>
      </c>
      <c r="P5" t="n">
        <v>0</v>
      </c>
      <c r="Q5" t="n">
        <v>3</v>
      </c>
      <c r="R5" t="n">
        <v>1</v>
      </c>
      <c r="S5" t="n">
        <v>8</v>
      </c>
      <c r="T5" t="n">
        <v>8</v>
      </c>
      <c r="U5" t="n">
        <v>0</v>
      </c>
      <c r="V5" s="2" t="inlineStr">
        <is>
          <t>Grönfink
Gulsparv
Talltita
Spillkråka
Gröngöling
Grönsiska
Sångsvan
Revlummer</t>
        </is>
      </c>
      <c r="W5">
        <f>HYPERLINK("https://klasma.github.io/Logging_0560/artfynd/A 61791-2025 artfynd.xlsx", "A 61791-2025")</f>
        <v/>
      </c>
      <c r="X5">
        <f>HYPERLINK("https://klasma.github.io/Logging_0560/kartor/A 61791-2025 karta.png", "A 61791-2025")</f>
        <v/>
      </c>
      <c r="Y5">
        <f>HYPERLINK("https://klasma.github.io/Logging_0560/kartor_geotiff/A 61791-2025 georefererad karta.tif", "A 61791-2025")</f>
        <v/>
      </c>
      <c r="AA5">
        <f>HYPERLINK("https://klasma.github.io/Logging_0560/klagomål/A 61791-2025 FSC-klagomål.docx", "A 61791-2025")</f>
        <v/>
      </c>
      <c r="AB5">
        <f>HYPERLINK("https://klasma.github.io/Logging_0560/klagomålsmail/A 61791-2025 FSC-klagomål mail.docx", "A 61791-2025")</f>
        <v/>
      </c>
      <c r="AC5">
        <f>HYPERLINK("https://klasma.github.io/Logging_0560/tillsyn/A 61791-2025 tillsynsbegäran.docx", "A 61791-2025")</f>
        <v/>
      </c>
      <c r="AD5">
        <f>HYPERLINK("https://klasma.github.io/Logging_0560/tillsynsmail/A 61791-2025 tillsynsbegäran mail.docx", "A 61791-2025")</f>
        <v/>
      </c>
      <c r="AE5">
        <f>HYPERLINK("https://klasma.github.io/Logging_0560/fåglar/A 61791-2025 prioriterade fågelarter.docx", "A 61791-2025")</f>
        <v/>
      </c>
    </row>
    <row r="6" ht="15" customHeight="1">
      <c r="A6" t="inlineStr">
        <is>
          <t>S 6650-2022</t>
        </is>
      </c>
      <c r="B6" t="inlineStr">
        <is>
          <t>samrådsanmälan</t>
        </is>
      </c>
      <c r="C6" t="inlineStr">
        <is>
          <t>Askåterföring</t>
        </is>
      </c>
      <c r="D6" s="1" t="n">
        <v>44887</v>
      </c>
      <c r="E6" s="1" t="n">
        <v>46324</v>
      </c>
      <c r="F6" t="inlineStr">
        <is>
          <t>ÖSTERGÖTLANDS LÄN</t>
        </is>
      </c>
      <c r="G6" t="inlineStr">
        <is>
          <t>BOXHOLM</t>
        </is>
      </c>
      <c r="H6" t="inlineStr">
        <is>
          <t>Övriga Aktiebolag</t>
        </is>
      </c>
      <c r="I6" t="n">
        <v>265</v>
      </c>
      <c r="J6" t="n">
        <v>2</v>
      </c>
      <c r="K6" t="n">
        <v>2</v>
      </c>
      <c r="L6" t="n">
        <v>2</v>
      </c>
      <c r="M6" t="n">
        <v>2</v>
      </c>
      <c r="N6" t="n">
        <v>1</v>
      </c>
      <c r="O6" t="n">
        <v>0</v>
      </c>
      <c r="P6" t="n">
        <v>0</v>
      </c>
      <c r="Q6" t="n">
        <v>5</v>
      </c>
      <c r="R6" t="n">
        <v>3</v>
      </c>
      <c r="S6" t="n">
        <v>8</v>
      </c>
      <c r="T6" t="n">
        <v>8</v>
      </c>
      <c r="U6" t="n">
        <v>0</v>
      </c>
      <c r="V6" s="2" t="inlineStr">
        <is>
          <t>Ask
Bredgentiana
Fältgentiana
Sommarfibbla
Svinrot
Svart trolldruva
Tibast
Blåsippa</t>
        </is>
      </c>
      <c r="W6">
        <f>HYPERLINK("https://klasma.github.io/Logging_0560/artfynd/S 6650-2022 artfynd.xlsx", "S 6650-2022")</f>
        <v/>
      </c>
      <c r="X6">
        <f>HYPERLINK("https://klasma.github.io/Logging_0560/kartor/S 6650-2022 karta.png", "S 6650-2022")</f>
        <v/>
      </c>
      <c r="Y6">
        <f>HYPERLINK("https://klasma.github.io/Logging_0560/kartor_geotiff/S 6650-2022 georefererad karta.tif", "S 6650-2022")</f>
        <v/>
      </c>
      <c r="AA6">
        <f>HYPERLINK("https://klasma.github.io/Logging_0560/klagomål/S 6650-2022 FSC-klagomål.docx", "S 6650-2022")</f>
        <v/>
      </c>
      <c r="AB6">
        <f>HYPERLINK("https://klasma.github.io/Logging_0560/klagomålsmail/S 6650-2022 FSC-klagomål mail.docx", "S 6650-2022")</f>
        <v/>
      </c>
      <c r="AC6">
        <f>HYPERLINK("https://klasma.github.io/Logging_0560/tillsyn/S 6650-2022 tillsynsbegäran.docx", "S 6650-2022")</f>
        <v/>
      </c>
      <c r="AD6">
        <f>HYPERLINK("https://klasma.github.io/Logging_0560/tillsynsmail/S 6650-2022 tillsynsbegäran mail.docx", "S 6650-2022")</f>
        <v/>
      </c>
    </row>
    <row r="7" ht="15" customHeight="1">
      <c r="A7" t="inlineStr">
        <is>
          <t>A 62741-2025</t>
        </is>
      </c>
      <c r="B7" t="inlineStr">
        <is>
          <t>avverkningsanmälan</t>
        </is>
      </c>
      <c r="C7" t="inlineStr">
        <is>
          <t>Avverkning för att bevara och utveckla /försöksver</t>
        </is>
      </c>
      <c r="D7" s="1" t="n">
        <v>46008</v>
      </c>
      <c r="E7" s="1" t="n">
        <v>46324</v>
      </c>
      <c r="F7" t="inlineStr">
        <is>
          <t>ÖSTERGÖTLANDS LÄN</t>
        </is>
      </c>
      <c r="G7" t="inlineStr">
        <is>
          <t>BOXHOLM</t>
        </is>
      </c>
      <c r="H7" t="inlineStr">
        <is>
          <t>Övriga Aktiebolag</t>
        </is>
      </c>
      <c r="I7" t="n">
        <v>0.3</v>
      </c>
      <c r="J7" t="n">
        <v>1</v>
      </c>
      <c r="K7" t="n">
        <v>3</v>
      </c>
      <c r="L7" t="n">
        <v>2</v>
      </c>
      <c r="M7" t="n">
        <v>0</v>
      </c>
      <c r="N7" t="n">
        <v>1</v>
      </c>
      <c r="O7" t="n">
        <v>0</v>
      </c>
      <c r="P7" t="n">
        <v>0</v>
      </c>
      <c r="Q7" t="n">
        <v>3</v>
      </c>
      <c r="R7" t="n">
        <v>1</v>
      </c>
      <c r="S7" t="n">
        <v>7</v>
      </c>
      <c r="T7" t="n">
        <v>11</v>
      </c>
      <c r="U7" t="n">
        <v>0</v>
      </c>
      <c r="V7" s="2" t="inlineStr">
        <is>
          <t>Ask
Gul dropplav
Oxtungssvamp
Fällmossa
Guldlockmossa
Platt fjädermossa
Blåsippa</t>
        </is>
      </c>
      <c r="W7">
        <f>HYPERLINK("https://klasma.github.io/Logging_0560/artfynd/A 62741-2025 artfynd.xlsx", "A 62741-2025")</f>
        <v/>
      </c>
      <c r="X7">
        <f>HYPERLINK("https://klasma.github.io/Logging_0560/kartor/A 62741-2025 karta.png", "A 62741-2025")</f>
        <v/>
      </c>
      <c r="Y7">
        <f>HYPERLINK("https://klasma.github.io/Logging_0560/kartor_geotiff/A 62741-2025 georefererad karta.tif", "A 62741-2025")</f>
        <v/>
      </c>
      <c r="AA7">
        <f>HYPERLINK("https://klasma.github.io/Logging_0560/klagomål/A 62741-2025 FSC-klagomål.docx", "A 62741-2025")</f>
        <v/>
      </c>
      <c r="AB7">
        <f>HYPERLINK("https://klasma.github.io/Logging_0560/klagomålsmail/A 62741-2025 FSC-klagomål mail.docx", "A 62741-2025")</f>
        <v/>
      </c>
      <c r="AC7">
        <f>HYPERLINK("https://klasma.github.io/Logging_0560/tillsyn/A 62741-2025 tillsynsbegäran.docx", "A 62741-2025")</f>
        <v/>
      </c>
      <c r="AD7">
        <f>HYPERLINK("https://klasma.github.io/Logging_0560/tillsynsmail/A 62741-2025 tillsynsbegäran mail.docx", "A 62741-2025")</f>
        <v/>
      </c>
    </row>
    <row r="8" ht="15" customHeight="1">
      <c r="A8" t="inlineStr">
        <is>
          <t>A 38893-2026</t>
        </is>
      </c>
      <c r="B8" t="inlineStr">
        <is>
          <t>avverkningsanmälan</t>
        </is>
      </c>
      <c r="C8" t="inlineStr">
        <is>
          <t>Avverkning för att bevara och utveckla /försöksver</t>
        </is>
      </c>
      <c r="D8" s="1" t="n">
        <v>46286</v>
      </c>
      <c r="E8" s="1" t="n">
        <v>46324</v>
      </c>
      <c r="F8" t="inlineStr">
        <is>
          <t>ÖSTERGÖTLANDS LÄN</t>
        </is>
      </c>
      <c r="G8" t="inlineStr">
        <is>
          <t>BOXHOLM</t>
        </is>
      </c>
      <c r="H8" t="inlineStr">
        <is>
          <t>Övriga Aktiebolag</t>
        </is>
      </c>
      <c r="I8" t="n">
        <v>3.8</v>
      </c>
      <c r="J8" t="n">
        <v>4</v>
      </c>
      <c r="K8" t="n">
        <v>2</v>
      </c>
      <c r="L8" t="n">
        <v>3</v>
      </c>
      <c r="M8" t="n">
        <v>0</v>
      </c>
      <c r="N8" t="n">
        <v>0</v>
      </c>
      <c r="O8" t="n">
        <v>0</v>
      </c>
      <c r="P8" t="n">
        <v>0</v>
      </c>
      <c r="Q8" t="n">
        <v>3</v>
      </c>
      <c r="R8" t="n">
        <v>0</v>
      </c>
      <c r="S8" t="n">
        <v>7</v>
      </c>
      <c r="T8" t="n">
        <v>7</v>
      </c>
      <c r="U8" t="n">
        <v>0</v>
      </c>
      <c r="V8" s="2" t="inlineStr">
        <is>
          <t>Brunlångöra
Kandelabersvamp
Nordfladdermus
Blåsfliksmossa
Guldlockmossa
Dvärgpipistrell
Större brunfladdermus</t>
        </is>
      </c>
      <c r="W8">
        <f>HYPERLINK("https://klasma.github.io/Logging_0560/artfynd/A 38893-2026 artfynd.xlsx", "A 38893-2026")</f>
        <v/>
      </c>
      <c r="X8">
        <f>HYPERLINK("https://klasma.github.io/Logging_0560/kartor/A 38893-2026 karta.png", "A 38893-2026")</f>
        <v/>
      </c>
      <c r="Y8">
        <f>HYPERLINK("https://klasma.github.io/Logging_0560/kartor_geotiff/A 38893-2026 georefererad karta.tif", "A 38893-2026")</f>
        <v/>
      </c>
      <c r="AA8">
        <f>HYPERLINK("https://klasma.github.io/Logging_0560/klagomål/A 38893-2026 FSC-klagomål.docx", "A 38893-2026")</f>
        <v/>
      </c>
      <c r="AB8">
        <f>HYPERLINK("https://klasma.github.io/Logging_0560/klagomålsmail/A 38893-2026 FSC-klagomål mail.docx", "A 38893-2026")</f>
        <v/>
      </c>
      <c r="AC8">
        <f>HYPERLINK("https://klasma.github.io/Logging_0560/tillsyn/A 38893-2026 tillsynsbegäran.docx", "A 38893-2026")</f>
        <v/>
      </c>
      <c r="AD8">
        <f>HYPERLINK("https://klasma.github.io/Logging_0560/tillsynsmail/A 38893-2026 tillsynsbegäran mail.docx", "A 38893-2026")</f>
        <v/>
      </c>
    </row>
    <row r="9" ht="15" customHeight="1">
      <c r="A9" t="inlineStr">
        <is>
          <t>A 42147-2025</t>
        </is>
      </c>
      <c r="B9" t="inlineStr">
        <is>
          <t>avverkningsanmälan</t>
        </is>
      </c>
      <c r="C9" t="inlineStr">
        <is>
          <t>Avverkning för att bevara och utveckla /försöksver</t>
        </is>
      </c>
      <c r="D9" s="1" t="n">
        <v>45904</v>
      </c>
      <c r="E9" s="1" t="n">
        <v>46324</v>
      </c>
      <c r="F9" t="inlineStr">
        <is>
          <t>ÖSTERGÖTLANDS LÄN</t>
        </is>
      </c>
      <c r="G9" t="inlineStr">
        <is>
          <t>BOXHOLM</t>
        </is>
      </c>
      <c r="H9" t="inlineStr">
        <is>
          <t>Övriga Aktiebolag</t>
        </is>
      </c>
      <c r="I9" t="n">
        <v>0.3</v>
      </c>
      <c r="J9" t="n">
        <v>1</v>
      </c>
      <c r="K9" t="n">
        <v>0</v>
      </c>
      <c r="L9" t="n">
        <v>5</v>
      </c>
      <c r="M9" t="n">
        <v>0</v>
      </c>
      <c r="N9" t="n">
        <v>1</v>
      </c>
      <c r="O9" t="n">
        <v>0</v>
      </c>
      <c r="P9" t="n">
        <v>0</v>
      </c>
      <c r="Q9" t="n">
        <v>6</v>
      </c>
      <c r="R9" t="n">
        <v>1</v>
      </c>
      <c r="S9" t="n">
        <v>6</v>
      </c>
      <c r="T9" t="n">
        <v>16</v>
      </c>
      <c r="U9" t="n">
        <v>2</v>
      </c>
      <c r="V9" s="2" t="inlineStr">
        <is>
          <t>Ärtvicker
Bergjohannesört
Gullklöver
Slåtterfibbla
Svinrot
Vippärt</t>
        </is>
      </c>
      <c r="W9">
        <f>HYPERLINK("https://klasma.github.io/Logging_0560/artfynd/A 42147-2025 artfynd.xlsx", "A 42147-2025")</f>
        <v/>
      </c>
      <c r="X9">
        <f>HYPERLINK("https://klasma.github.io/Logging_0560/kartor/A 42147-2025 karta.png", "A 42147-2025")</f>
        <v/>
      </c>
      <c r="Y9">
        <f>HYPERLINK("https://klasma.github.io/Logging_0560/kartor_geotiff/A 42147-2025 georefererad karta.tif", "A 42147-2025")</f>
        <v/>
      </c>
      <c r="AA9">
        <f>HYPERLINK("https://klasma.github.io/Logging_0560/klagomål/A 42147-2025 FSC-klagomål.docx", "A 42147-2025")</f>
        <v/>
      </c>
      <c r="AB9">
        <f>HYPERLINK("https://klasma.github.io/Logging_0560/klagomålsmail/A 42147-2025 FSC-klagomål mail.docx", "A 42147-2025")</f>
        <v/>
      </c>
      <c r="AC9">
        <f>HYPERLINK("https://klasma.github.io/Logging_0560/tillsyn/A 42147-2025 tillsynsbegäran.docx", "A 42147-2025")</f>
        <v/>
      </c>
      <c r="AD9">
        <f>HYPERLINK("https://klasma.github.io/Logging_0560/tillsynsmail/A 42147-2025 tillsynsbegäran mail.docx", "A 42147-2025")</f>
        <v/>
      </c>
    </row>
    <row r="10" ht="15" customHeight="1">
      <c r="A10" t="inlineStr">
        <is>
          <t>A 11401-2024</t>
        </is>
      </c>
      <c r="B10" t="inlineStr">
        <is>
          <t>avverkningsanmälan</t>
        </is>
      </c>
      <c r="C10" t="inlineStr">
        <is>
          <t>Avverkning för att bevara och utveckla /försöksver</t>
        </is>
      </c>
      <c r="D10" s="1" t="n">
        <v>45372</v>
      </c>
      <c r="E10" s="1" t="n">
        <v>46324</v>
      </c>
      <c r="F10" t="inlineStr">
        <is>
          <t>ÖSTERGÖTLANDS LÄN</t>
        </is>
      </c>
      <c r="G10" t="inlineStr">
        <is>
          <t>BOXHOLM</t>
        </is>
      </c>
      <c r="H10" t="inlineStr">
        <is>
          <t>Övriga Aktiebolag</t>
        </is>
      </c>
      <c r="I10" t="n">
        <v>0.4</v>
      </c>
      <c r="J10" t="n">
        <v>0</v>
      </c>
      <c r="K10" t="n">
        <v>5</v>
      </c>
      <c r="L10" t="n">
        <v>0</v>
      </c>
      <c r="M10" t="n">
        <v>0</v>
      </c>
      <c r="N10" t="n">
        <v>0</v>
      </c>
      <c r="O10" t="n">
        <v>0</v>
      </c>
      <c r="P10" t="n">
        <v>0</v>
      </c>
      <c r="Q10" t="n">
        <v>0</v>
      </c>
      <c r="R10" t="n">
        <v>0</v>
      </c>
      <c r="S10" t="n">
        <v>5</v>
      </c>
      <c r="T10" t="n">
        <v>5</v>
      </c>
      <c r="U10" t="n">
        <v>0</v>
      </c>
      <c r="V10" s="2" t="inlineStr">
        <is>
          <t>Fällmossa
Grov fjädermossa
Platt fjädermossa
Tibast
Trädporella</t>
        </is>
      </c>
      <c r="W10">
        <f>HYPERLINK("https://klasma.github.io/Logging_0560/artfynd/A 11401-2024 artfynd.xlsx", "A 11401-2024")</f>
        <v/>
      </c>
      <c r="X10">
        <f>HYPERLINK("https://klasma.github.io/Logging_0560/kartor/A 11401-2024 karta.png", "A 11401-2024")</f>
        <v/>
      </c>
      <c r="Y10">
        <f>HYPERLINK("https://klasma.github.io/Logging_0560/kartor_geotiff/A 11401-2024 georefererad karta.tif", "A 11401-2024")</f>
        <v/>
      </c>
      <c r="AA10">
        <f>HYPERLINK("https://klasma.github.io/Logging_0560/klagomål/A 11401-2024 FSC-klagomål.docx", "A 11401-2024")</f>
        <v/>
      </c>
      <c r="AB10">
        <f>HYPERLINK("https://klasma.github.io/Logging_0560/klagomålsmail/A 11401-2024 FSC-klagomål mail.docx", "A 11401-2024")</f>
        <v/>
      </c>
      <c r="AC10">
        <f>HYPERLINK("https://klasma.github.io/Logging_0560/tillsyn/A 11401-2024 tillsynsbegäran.docx", "A 11401-2024")</f>
        <v/>
      </c>
      <c r="AD10">
        <f>HYPERLINK("https://klasma.github.io/Logging_0560/tillsynsmail/A 11401-2024 tillsynsbegäran mail.docx", "A 11401-2024")</f>
        <v/>
      </c>
    </row>
    <row r="11" ht="15" customHeight="1">
      <c r="A11" t="inlineStr">
        <is>
          <t>A 40119-2025</t>
        </is>
      </c>
      <c r="B11" t="inlineStr">
        <is>
          <t>avverkningsanmälan</t>
        </is>
      </c>
      <c r="C11" t="inlineStr">
        <is>
          <t>Avverkning för att bevara och utveckla /försöksver</t>
        </is>
      </c>
      <c r="D11" s="1" t="n">
        <v>45894</v>
      </c>
      <c r="E11" s="1" t="n">
        <v>46324</v>
      </c>
      <c r="F11" t="inlineStr">
        <is>
          <t>ÖSTERGÖTLANDS LÄN</t>
        </is>
      </c>
      <c r="G11" t="inlineStr">
        <is>
          <t>BOXHOLM</t>
        </is>
      </c>
      <c r="H11" t="inlineStr">
        <is>
          <t>Övriga Aktiebolag</t>
        </is>
      </c>
      <c r="I11" t="n">
        <v>1.1</v>
      </c>
      <c r="J11" t="n">
        <v>3</v>
      </c>
      <c r="K11" t="n">
        <v>1</v>
      </c>
      <c r="L11" t="n">
        <v>0</v>
      </c>
      <c r="M11" t="n">
        <v>0</v>
      </c>
      <c r="N11" t="n">
        <v>0</v>
      </c>
      <c r="O11" t="n">
        <v>0</v>
      </c>
      <c r="P11" t="n">
        <v>0</v>
      </c>
      <c r="Q11" t="n">
        <v>0</v>
      </c>
      <c r="R11" t="n">
        <v>0</v>
      </c>
      <c r="S11" t="n">
        <v>4</v>
      </c>
      <c r="T11" t="n">
        <v>4</v>
      </c>
      <c r="U11" t="n">
        <v>0</v>
      </c>
      <c r="V11" s="2" t="inlineStr">
        <is>
          <t>Svart trolldruva
Blåsippa
Grönvit nattviol
Revlummer</t>
        </is>
      </c>
      <c r="W11">
        <f>HYPERLINK("https://klasma.github.io/Logging_0560/artfynd/A 40119-2025 artfynd.xlsx", "A 40119-2025")</f>
        <v/>
      </c>
      <c r="X11">
        <f>HYPERLINK("https://klasma.github.io/Logging_0560/kartor/A 40119-2025 karta.png", "A 40119-2025")</f>
        <v/>
      </c>
      <c r="Y11">
        <f>HYPERLINK("https://klasma.github.io/Logging_0560/kartor_geotiff/A 40119-2025 georefererad karta.tif", "A 40119-2025")</f>
        <v/>
      </c>
      <c r="AA11">
        <f>HYPERLINK("https://klasma.github.io/Logging_0560/klagomål/A 40119-2025 FSC-klagomål.docx", "A 40119-2025")</f>
        <v/>
      </c>
      <c r="AB11">
        <f>HYPERLINK("https://klasma.github.io/Logging_0560/klagomålsmail/A 40119-2025 FSC-klagomål mail.docx", "A 40119-2025")</f>
        <v/>
      </c>
      <c r="AC11">
        <f>HYPERLINK("https://klasma.github.io/Logging_0560/tillsyn/A 40119-2025 tillsynsbegäran.docx", "A 40119-2025")</f>
        <v/>
      </c>
      <c r="AD11">
        <f>HYPERLINK("https://klasma.github.io/Logging_0560/tillsynsmail/A 40119-2025 tillsynsbegäran mail.docx", "A 40119-2025")</f>
        <v/>
      </c>
    </row>
    <row r="12" ht="15" customHeight="1">
      <c r="A12" t="inlineStr">
        <is>
          <t>A 61789-2025</t>
        </is>
      </c>
      <c r="B12" t="inlineStr">
        <is>
          <t>avverkningsanmälan</t>
        </is>
      </c>
      <c r="C12" t="inlineStr">
        <is>
          <t>Föryngringsavverkning</t>
        </is>
      </c>
      <c r="D12" s="1" t="n">
        <v>46002</v>
      </c>
      <c r="E12" s="1" t="n">
        <v>46324</v>
      </c>
      <c r="F12" t="inlineStr">
        <is>
          <t>ÖSTERGÖTLANDS LÄN</t>
        </is>
      </c>
      <c r="G12" t="inlineStr">
        <is>
          <t>BOXHOLM</t>
        </is>
      </c>
      <c r="H12" t="inlineStr">
        <is>
          <t>Allmännings- och besparingsskogar</t>
        </is>
      </c>
      <c r="I12" t="n">
        <v>5.7</v>
      </c>
      <c r="J12" t="n">
        <v>4</v>
      </c>
      <c r="K12" t="n">
        <v>0</v>
      </c>
      <c r="L12" t="n">
        <v>1</v>
      </c>
      <c r="M12" t="n">
        <v>0</v>
      </c>
      <c r="N12" t="n">
        <v>0</v>
      </c>
      <c r="O12" t="n">
        <v>0</v>
      </c>
      <c r="P12" t="n">
        <v>0</v>
      </c>
      <c r="Q12" t="n">
        <v>1</v>
      </c>
      <c r="R12" t="n">
        <v>0</v>
      </c>
      <c r="S12" t="n">
        <v>4</v>
      </c>
      <c r="T12" t="n">
        <v>4</v>
      </c>
      <c r="U12" t="n">
        <v>0</v>
      </c>
      <c r="V12" s="2" t="inlineStr">
        <is>
          <t>Talltita
Kråka
Kungsfågel
Orre</t>
        </is>
      </c>
      <c r="W12">
        <f>HYPERLINK("https://klasma.github.io/Logging_0560/artfynd/A 61789-2025 artfynd.xlsx", "A 61789-2025")</f>
        <v/>
      </c>
      <c r="X12">
        <f>HYPERLINK("https://klasma.github.io/Logging_0560/kartor/A 61789-2025 karta.png", "A 61789-2025")</f>
        <v/>
      </c>
      <c r="Y12">
        <f>HYPERLINK("https://klasma.github.io/Logging_0560/kartor_geotiff/A 61789-2025 georefererad karta.tif", "A 61789-2025")</f>
        <v/>
      </c>
      <c r="AA12">
        <f>HYPERLINK("https://klasma.github.io/Logging_0560/klagomål/A 61789-2025 FSC-klagomål.docx", "A 61789-2025")</f>
        <v/>
      </c>
      <c r="AB12">
        <f>HYPERLINK("https://klasma.github.io/Logging_0560/klagomålsmail/A 61789-2025 FSC-klagomål mail.docx", "A 61789-2025")</f>
        <v/>
      </c>
      <c r="AC12">
        <f>HYPERLINK("https://klasma.github.io/Logging_0560/tillsyn/A 61789-2025 tillsynsbegäran.docx", "A 61789-2025")</f>
        <v/>
      </c>
      <c r="AD12">
        <f>HYPERLINK("https://klasma.github.io/Logging_0560/tillsynsmail/A 61789-2025 tillsynsbegäran mail.docx", "A 61789-2025")</f>
        <v/>
      </c>
      <c r="AE12">
        <f>HYPERLINK("https://klasma.github.io/Logging_0560/fåglar/A 61789-2025 prioriterade fågelarter.docx", "A 61789-2025")</f>
        <v/>
      </c>
    </row>
    <row r="13" ht="15" customHeight="1">
      <c r="A13" t="inlineStr">
        <is>
          <t>A 59418-2022</t>
        </is>
      </c>
      <c r="B13" t="inlineStr">
        <is>
          <t>avverkningsanmälan</t>
        </is>
      </c>
      <c r="C13" t="inlineStr">
        <is>
          <t>Avverkning för att bevara och utveckla /försöksver</t>
        </is>
      </c>
      <c r="D13" s="1" t="n">
        <v>44907</v>
      </c>
      <c r="E13" s="1" t="n">
        <v>46324</v>
      </c>
      <c r="F13" t="inlineStr">
        <is>
          <t>ÖSTERGÖTLANDS LÄN</t>
        </is>
      </c>
      <c r="G13" t="inlineStr">
        <is>
          <t>BOXHOLM</t>
        </is>
      </c>
      <c r="H13" t="inlineStr">
        <is>
          <t>Övriga Aktiebolag</t>
        </is>
      </c>
      <c r="I13" t="n">
        <v>6.5</v>
      </c>
      <c r="J13" t="n">
        <v>2</v>
      </c>
      <c r="K13" t="n">
        <v>0</v>
      </c>
      <c r="L13" t="n">
        <v>1</v>
      </c>
      <c r="M13" t="n">
        <v>0</v>
      </c>
      <c r="N13" t="n">
        <v>1</v>
      </c>
      <c r="O13" t="n">
        <v>0</v>
      </c>
      <c r="P13" t="n">
        <v>0</v>
      </c>
      <c r="Q13" t="n">
        <v>2</v>
      </c>
      <c r="R13" t="n">
        <v>1</v>
      </c>
      <c r="S13" t="n">
        <v>4</v>
      </c>
      <c r="T13" t="n">
        <v>4</v>
      </c>
      <c r="U13" t="n">
        <v>0</v>
      </c>
      <c r="V13" s="2" t="inlineStr">
        <is>
          <t>Skogsalm
Svinrot
Blåsippa
Gullviva</t>
        </is>
      </c>
      <c r="W13">
        <f>HYPERLINK("https://klasma.github.io/Logging_0560/artfynd/A 59418-2022 artfynd.xlsx", "A 59418-2022")</f>
        <v/>
      </c>
      <c r="X13">
        <f>HYPERLINK("https://klasma.github.io/Logging_0560/kartor/A 59418-2022 karta.png", "A 59418-2022")</f>
        <v/>
      </c>
      <c r="Y13">
        <f>HYPERLINK("https://klasma.github.io/Logging_0560/kartor_geotiff/A 59418-2022 georefererad karta.tif", "A 59418-2022")</f>
        <v/>
      </c>
      <c r="AA13">
        <f>HYPERLINK("https://klasma.github.io/Logging_0560/klagomål/A 59418-2022 FSC-klagomål.docx", "A 59418-2022")</f>
        <v/>
      </c>
      <c r="AB13">
        <f>HYPERLINK("https://klasma.github.io/Logging_0560/klagomålsmail/A 59418-2022 FSC-klagomål mail.docx", "A 59418-2022")</f>
        <v/>
      </c>
      <c r="AC13">
        <f>HYPERLINK("https://klasma.github.io/Logging_0560/tillsyn/A 59418-2022 tillsynsbegäran.docx", "A 59418-2022")</f>
        <v/>
      </c>
      <c r="AD13">
        <f>HYPERLINK("https://klasma.github.io/Logging_0560/tillsynsmail/A 59418-2022 tillsynsbegäran mail.docx", "A 59418-2022")</f>
        <v/>
      </c>
    </row>
    <row r="14" ht="15" customHeight="1">
      <c r="A14" t="inlineStr">
        <is>
          <t>S 2242-2025</t>
        </is>
      </c>
      <c r="B14" t="inlineStr">
        <is>
          <t>samrådsanmälan</t>
        </is>
      </c>
      <c r="C14" t="inlineStr">
        <is>
          <t>Annan skogsbruksåtgärd</t>
        </is>
      </c>
      <c r="D14" s="1" t="n">
        <v>45869</v>
      </c>
      <c r="E14" s="1" t="n">
        <v>46324</v>
      </c>
      <c r="F14" t="inlineStr">
        <is>
          <t>ÖSTERGÖTLANDS LÄN</t>
        </is>
      </c>
      <c r="G14" t="inlineStr">
        <is>
          <t>BOXHOLM</t>
        </is>
      </c>
      <c r="H14" t="inlineStr">
        <is>
          <t>Övriga Aktiebolag</t>
        </is>
      </c>
      <c r="I14" t="n">
        <v>11.6</v>
      </c>
      <c r="J14" t="n">
        <v>0</v>
      </c>
      <c r="K14" t="n">
        <v>0</v>
      </c>
      <c r="L14" t="n">
        <v>4</v>
      </c>
      <c r="M14" t="n">
        <v>0</v>
      </c>
      <c r="N14" t="n">
        <v>0</v>
      </c>
      <c r="O14" t="n">
        <v>0</v>
      </c>
      <c r="P14" t="n">
        <v>0</v>
      </c>
      <c r="Q14" t="n">
        <v>4</v>
      </c>
      <c r="R14" t="n">
        <v>0</v>
      </c>
      <c r="S14" t="n">
        <v>4</v>
      </c>
      <c r="T14" t="n">
        <v>17</v>
      </c>
      <c r="U14" t="n">
        <v>0</v>
      </c>
      <c r="V14" s="2" t="inlineStr">
        <is>
          <t>Gammelekslav
Rosa skärelav
Skuggorangelav
Tallticka</t>
        </is>
      </c>
      <c r="W14">
        <f>HYPERLINK("https://klasma.github.io/Logging_0560/artfynd/S 2242-2025 artfynd.xlsx", "S 2242-2025")</f>
        <v/>
      </c>
      <c r="X14">
        <f>HYPERLINK("https://klasma.github.io/Logging_0560/kartor/S 2242-2025 karta.png", "S 2242-2025")</f>
        <v/>
      </c>
      <c r="Y14">
        <f>HYPERLINK("https://klasma.github.io/Logging_0560/kartor_geotiff/S 2242-2025 georefererad karta.tif", "S 2242-2025")</f>
        <v/>
      </c>
      <c r="AA14">
        <f>HYPERLINK("https://klasma.github.io/Logging_0560/klagomål/S 2242-2025 FSC-klagomål.docx", "S 2242-2025")</f>
        <v/>
      </c>
      <c r="AB14">
        <f>HYPERLINK("https://klasma.github.io/Logging_0560/klagomålsmail/S 2242-2025 FSC-klagomål mail.docx", "S 2242-2025")</f>
        <v/>
      </c>
      <c r="AC14">
        <f>HYPERLINK("https://klasma.github.io/Logging_0560/tillsyn/S 2242-2025 tillsynsbegäran.docx", "S 2242-2025")</f>
        <v/>
      </c>
      <c r="AD14">
        <f>HYPERLINK("https://klasma.github.io/Logging_0560/tillsynsmail/S 2242-2025 tillsynsbegäran mail.docx", "S 2242-2025")</f>
        <v/>
      </c>
    </row>
    <row r="15" ht="15" customHeight="1">
      <c r="A15" t="inlineStr">
        <is>
          <t>A 35665-2024</t>
        </is>
      </c>
      <c r="B15" t="inlineStr">
        <is>
          <t>avverkningsanmälan</t>
        </is>
      </c>
      <c r="C15" t="inlineStr">
        <is>
          <t>Avverkning för annat ändamål</t>
        </is>
      </c>
      <c r="D15" s="1" t="n">
        <v>45532</v>
      </c>
      <c r="E15" s="1" t="n">
        <v>46324</v>
      </c>
      <c r="F15" t="inlineStr">
        <is>
          <t>ÖSTERGÖTLANDS LÄN</t>
        </is>
      </c>
      <c r="G15" t="inlineStr">
        <is>
          <t>BOXHOLM</t>
        </is>
      </c>
      <c r="I15" t="n">
        <v>1.8</v>
      </c>
      <c r="J15" t="n">
        <v>0</v>
      </c>
      <c r="K15" t="n">
        <v>3</v>
      </c>
      <c r="L15" t="n">
        <v>0</v>
      </c>
      <c r="M15" t="n">
        <v>0</v>
      </c>
      <c r="N15" t="n">
        <v>0</v>
      </c>
      <c r="O15" t="n">
        <v>0</v>
      </c>
      <c r="P15" t="n">
        <v>0</v>
      </c>
      <c r="Q15" t="n">
        <v>0</v>
      </c>
      <c r="R15" t="n">
        <v>0</v>
      </c>
      <c r="S15" t="n">
        <v>3</v>
      </c>
      <c r="T15" t="n">
        <v>4</v>
      </c>
      <c r="U15" t="n">
        <v>0</v>
      </c>
      <c r="V15" s="2" t="inlineStr">
        <is>
          <t>Hässleklocka
Svart trolldruva
Underviol</t>
        </is>
      </c>
      <c r="W15">
        <f>HYPERLINK("https://klasma.github.io/Logging_0560/artfynd/A 35665-2024 artfynd.xlsx", "A 35665-2024")</f>
        <v/>
      </c>
      <c r="X15">
        <f>HYPERLINK("https://klasma.github.io/Logging_0560/kartor/A 35665-2024 karta.png", "A 35665-2024")</f>
        <v/>
      </c>
      <c r="Y15">
        <f>HYPERLINK("https://klasma.github.io/Logging_0560/kartor_geotiff/A 35665-2024 georefererad karta.tif", "A 35665-2024")</f>
        <v/>
      </c>
      <c r="AA15">
        <f>HYPERLINK("https://klasma.github.io/Logging_0560/klagomål/A 35665-2024 FSC-klagomål.docx", "A 35665-2024")</f>
        <v/>
      </c>
      <c r="AB15">
        <f>HYPERLINK("https://klasma.github.io/Logging_0560/klagomålsmail/A 35665-2024 FSC-klagomål mail.docx", "A 35665-2024")</f>
        <v/>
      </c>
      <c r="AC15">
        <f>HYPERLINK("https://klasma.github.io/Logging_0560/tillsyn/A 35665-2024 tillsynsbegäran.docx", "A 35665-2024")</f>
        <v/>
      </c>
      <c r="AD15">
        <f>HYPERLINK("https://klasma.github.io/Logging_0560/tillsynsmail/A 35665-2024 tillsynsbegäran mail.docx", "A 35665-2024")</f>
        <v/>
      </c>
    </row>
    <row r="16" ht="15" customHeight="1">
      <c r="A16" t="inlineStr">
        <is>
          <t>A 36575-2025</t>
        </is>
      </c>
      <c r="B16" t="inlineStr">
        <is>
          <t>avverkningsanmälan</t>
        </is>
      </c>
      <c r="C16" t="inlineStr">
        <is>
          <t>Avverkning för att bevara och utveckla /försöksver</t>
        </is>
      </c>
      <c r="D16" s="1" t="n">
        <v>45870</v>
      </c>
      <c r="E16" s="1" t="n">
        <v>46324</v>
      </c>
      <c r="F16" t="inlineStr">
        <is>
          <t>ÖSTERGÖTLANDS LÄN</t>
        </is>
      </c>
      <c r="G16" t="inlineStr">
        <is>
          <t>BOXHOLM</t>
        </is>
      </c>
      <c r="H16" t="inlineStr">
        <is>
          <t>Övriga Aktiebolag</t>
        </is>
      </c>
      <c r="I16" t="n">
        <v>5</v>
      </c>
      <c r="J16" t="n">
        <v>0</v>
      </c>
      <c r="K16" t="n">
        <v>0</v>
      </c>
      <c r="L16" t="n">
        <v>3</v>
      </c>
      <c r="M16" t="n">
        <v>0</v>
      </c>
      <c r="N16" t="n">
        <v>0</v>
      </c>
      <c r="O16" t="n">
        <v>0</v>
      </c>
      <c r="P16" t="n">
        <v>0</v>
      </c>
      <c r="Q16" t="n">
        <v>3</v>
      </c>
      <c r="R16" t="n">
        <v>0</v>
      </c>
      <c r="S16" t="n">
        <v>3</v>
      </c>
      <c r="T16" t="n">
        <v>12</v>
      </c>
      <c r="U16" t="n">
        <v>0</v>
      </c>
      <c r="V16" s="2" t="inlineStr">
        <is>
          <t>Gammelekslav
Rosa skärelav
Skuggorangelav</t>
        </is>
      </c>
      <c r="W16">
        <f>HYPERLINK("https://klasma.github.io/Logging_0560/artfynd/A 36575-2025 artfynd.xlsx", "A 36575-2025")</f>
        <v/>
      </c>
      <c r="X16">
        <f>HYPERLINK("https://klasma.github.io/Logging_0560/kartor/A 36575-2025 karta.png", "A 36575-2025")</f>
        <v/>
      </c>
      <c r="Y16">
        <f>HYPERLINK("https://klasma.github.io/Logging_0560/kartor_geotiff/A 36575-2025 georefererad karta.tif", "A 36575-2025")</f>
        <v/>
      </c>
      <c r="AA16">
        <f>HYPERLINK("https://klasma.github.io/Logging_0560/klagomål/A 36575-2025 FSC-klagomål.docx", "A 36575-2025")</f>
        <v/>
      </c>
      <c r="AB16">
        <f>HYPERLINK("https://klasma.github.io/Logging_0560/klagomålsmail/A 36575-2025 FSC-klagomål mail.docx", "A 36575-2025")</f>
        <v/>
      </c>
      <c r="AC16">
        <f>HYPERLINK("https://klasma.github.io/Logging_0560/tillsyn/A 36575-2025 tillsynsbegäran.docx", "A 36575-2025")</f>
        <v/>
      </c>
      <c r="AD16">
        <f>HYPERLINK("https://klasma.github.io/Logging_0560/tillsynsmail/A 36575-2025 tillsynsbegäran mail.docx", "A 36575-2025")</f>
        <v/>
      </c>
    </row>
    <row r="17" ht="15" customHeight="1">
      <c r="A17" t="inlineStr">
        <is>
          <t>A 62647-2025</t>
        </is>
      </c>
      <c r="B17" t="inlineStr">
        <is>
          <t>avverkningsanmälan</t>
        </is>
      </c>
      <c r="C17" t="inlineStr">
        <is>
          <t>Avverkning för att bevara och utveckla /försöksver</t>
        </is>
      </c>
      <c r="D17" s="1" t="n">
        <v>46008</v>
      </c>
      <c r="E17" s="1" t="n">
        <v>46324</v>
      </c>
      <c r="F17" t="inlineStr">
        <is>
          <t>ÖSTERGÖTLANDS LÄN</t>
        </is>
      </c>
      <c r="G17" t="inlineStr">
        <is>
          <t>BOXHOLM</t>
        </is>
      </c>
      <c r="H17" t="inlineStr">
        <is>
          <t>Övriga Aktiebolag</t>
        </is>
      </c>
      <c r="I17" t="n">
        <v>1</v>
      </c>
      <c r="J17" t="n">
        <v>0</v>
      </c>
      <c r="K17" t="n">
        <v>2</v>
      </c>
      <c r="L17" t="n">
        <v>0</v>
      </c>
      <c r="M17" t="n">
        <v>1</v>
      </c>
      <c r="N17" t="n">
        <v>0</v>
      </c>
      <c r="O17" t="n">
        <v>0</v>
      </c>
      <c r="P17" t="n">
        <v>0</v>
      </c>
      <c r="Q17" t="n">
        <v>1</v>
      </c>
      <c r="R17" t="n">
        <v>1</v>
      </c>
      <c r="S17" t="n">
        <v>3</v>
      </c>
      <c r="T17" t="n">
        <v>3</v>
      </c>
      <c r="U17" t="n">
        <v>0</v>
      </c>
      <c r="V17" s="2" t="inlineStr">
        <is>
          <t>Lungrot
Fällmossa
Svart trolldruva</t>
        </is>
      </c>
      <c r="W17">
        <f>HYPERLINK("https://klasma.github.io/Logging_0560/artfynd/A 62647-2025 artfynd.xlsx", "A 62647-2025")</f>
        <v/>
      </c>
      <c r="X17">
        <f>HYPERLINK("https://klasma.github.io/Logging_0560/kartor/A 62647-2025 karta.png", "A 62647-2025")</f>
        <v/>
      </c>
      <c r="Y17">
        <f>HYPERLINK("https://klasma.github.io/Logging_0560/kartor_geotiff/A 62647-2025 georefererad karta.tif", "A 62647-2025")</f>
        <v/>
      </c>
      <c r="AA17">
        <f>HYPERLINK("https://klasma.github.io/Logging_0560/klagomål/A 62647-2025 FSC-klagomål.docx", "A 62647-2025")</f>
        <v/>
      </c>
      <c r="AB17">
        <f>HYPERLINK("https://klasma.github.io/Logging_0560/klagomålsmail/A 62647-2025 FSC-klagomål mail.docx", "A 62647-2025")</f>
        <v/>
      </c>
      <c r="AC17">
        <f>HYPERLINK("https://klasma.github.io/Logging_0560/tillsyn/A 62647-2025 tillsynsbegäran.docx", "A 62647-2025")</f>
        <v/>
      </c>
      <c r="AD17">
        <f>HYPERLINK("https://klasma.github.io/Logging_0560/tillsynsmail/A 62647-2025 tillsynsbegäran mail.docx", "A 62647-2025")</f>
        <v/>
      </c>
    </row>
    <row r="18" ht="15" customHeight="1">
      <c r="A18" t="inlineStr">
        <is>
          <t>A 25470-2026</t>
        </is>
      </c>
      <c r="B18" t="inlineStr">
        <is>
          <t>avverkningsanmälan</t>
        </is>
      </c>
      <c r="C18" t="inlineStr">
        <is>
          <t>Föryngringsavverkning</t>
        </is>
      </c>
      <c r="D18" s="1" t="n">
        <v>46177</v>
      </c>
      <c r="E18" s="1" t="n">
        <v>46324</v>
      </c>
      <c r="F18" t="inlineStr">
        <is>
          <t>ÖSTERGÖTLANDS LÄN</t>
        </is>
      </c>
      <c r="G18" t="inlineStr">
        <is>
          <t>BOXHOLM</t>
        </is>
      </c>
      <c r="H18" t="inlineStr">
        <is>
          <t>Kyrkan</t>
        </is>
      </c>
      <c r="I18" t="n">
        <v>13.8</v>
      </c>
      <c r="J18" t="n">
        <v>0</v>
      </c>
      <c r="K18" t="n">
        <v>0</v>
      </c>
      <c r="L18" t="n">
        <v>3</v>
      </c>
      <c r="M18" t="n">
        <v>0</v>
      </c>
      <c r="N18" t="n">
        <v>0</v>
      </c>
      <c r="O18" t="n">
        <v>0</v>
      </c>
      <c r="P18" t="n">
        <v>0</v>
      </c>
      <c r="Q18" t="n">
        <v>3</v>
      </c>
      <c r="R18" t="n">
        <v>0</v>
      </c>
      <c r="S18" t="n">
        <v>3</v>
      </c>
      <c r="T18" t="n">
        <v>3</v>
      </c>
      <c r="U18" t="n">
        <v>3</v>
      </c>
      <c r="V18" s="2" t="inlineStr">
        <is>
          <t>Kolflarnlav
Vedskivlav
Vedtrappmossa</t>
        </is>
      </c>
      <c r="W18">
        <f>HYPERLINK("https://klasma.github.io/Logging_0560/artfynd/A 25470-2026 artfynd.xlsx", "A 25470-2026")</f>
        <v/>
      </c>
      <c r="X18">
        <f>HYPERLINK("https://klasma.github.io/Logging_0560/kartor/A 25470-2026 karta.png", "A 25470-2026")</f>
        <v/>
      </c>
      <c r="Y18">
        <f>HYPERLINK("https://klasma.github.io/Logging_0560/kartor_geotiff/A 25470-2026 georefererad karta.tif", "A 25470-2026")</f>
        <v/>
      </c>
      <c r="AA18">
        <f>HYPERLINK("https://klasma.github.io/Logging_0560/klagomål/A 25470-2026 FSC-klagomål.docx", "A 25470-2026")</f>
        <v/>
      </c>
      <c r="AB18">
        <f>HYPERLINK("https://klasma.github.io/Logging_0560/klagomålsmail/A 25470-2026 FSC-klagomål mail.docx", "A 25470-2026")</f>
        <v/>
      </c>
      <c r="AC18">
        <f>HYPERLINK("https://klasma.github.io/Logging_0560/tillsyn/A 25470-2026 tillsynsbegäran.docx", "A 25470-2026")</f>
        <v/>
      </c>
      <c r="AD18">
        <f>HYPERLINK("https://klasma.github.io/Logging_0560/tillsynsmail/A 25470-2026 tillsynsbegäran mail.docx", "A 25470-2026")</f>
        <v/>
      </c>
    </row>
    <row r="19" ht="15" customHeight="1">
      <c r="A19" t="inlineStr">
        <is>
          <t>A 57570-2023</t>
        </is>
      </c>
      <c r="B19" t="inlineStr">
        <is>
          <t>avverkningsanmälan</t>
        </is>
      </c>
      <c r="C19" t="inlineStr">
        <is>
          <t>Föryngringsavverkning</t>
        </is>
      </c>
      <c r="D19" s="1" t="n">
        <v>45246</v>
      </c>
      <c r="E19" s="1" t="n">
        <v>46324</v>
      </c>
      <c r="F19" t="inlineStr">
        <is>
          <t>ÖSTERGÖTLANDS LÄN</t>
        </is>
      </c>
      <c r="G19" t="inlineStr">
        <is>
          <t>BOXHOLM</t>
        </is>
      </c>
      <c r="H19" t="inlineStr">
        <is>
          <t>Övriga Aktiebolag</t>
        </is>
      </c>
      <c r="I19" t="n">
        <v>1.5</v>
      </c>
      <c r="J19" t="n">
        <v>1</v>
      </c>
      <c r="K19" t="n">
        <v>2</v>
      </c>
      <c r="L19" t="n">
        <v>1</v>
      </c>
      <c r="M19" t="n">
        <v>0</v>
      </c>
      <c r="N19" t="n">
        <v>0</v>
      </c>
      <c r="O19" t="n">
        <v>0</v>
      </c>
      <c r="P19" t="n">
        <v>0</v>
      </c>
      <c r="Q19" t="n">
        <v>1</v>
      </c>
      <c r="R19" t="n">
        <v>0</v>
      </c>
      <c r="S19" t="n">
        <v>3</v>
      </c>
      <c r="T19" t="n">
        <v>3</v>
      </c>
      <c r="U19" t="n">
        <v>2</v>
      </c>
      <c r="V19" s="2" t="inlineStr">
        <is>
          <t>Nötkråka
Fällmossa
Platt fjädermossa</t>
        </is>
      </c>
      <c r="W19">
        <f>HYPERLINK("https://klasma.github.io/Logging_0560/artfynd/A 57570-2023 artfynd.xlsx", "A 57570-2023")</f>
        <v/>
      </c>
      <c r="X19">
        <f>HYPERLINK("https://klasma.github.io/Logging_0560/kartor/A 57570-2023 karta.png", "A 57570-2023")</f>
        <v/>
      </c>
      <c r="Y19">
        <f>HYPERLINK("https://klasma.github.io/Logging_0560/kartor_geotiff/A 57570-2023 georefererad karta.tif", "A 57570-2023")</f>
        <v/>
      </c>
      <c r="AA19">
        <f>HYPERLINK("https://klasma.github.io/Logging_0560/klagomål/A 57570-2023 FSC-klagomål.docx", "A 57570-2023")</f>
        <v/>
      </c>
      <c r="AB19">
        <f>HYPERLINK("https://klasma.github.io/Logging_0560/klagomålsmail/A 57570-2023 FSC-klagomål mail.docx", "A 57570-2023")</f>
        <v/>
      </c>
      <c r="AC19">
        <f>HYPERLINK("https://klasma.github.io/Logging_0560/tillsyn/A 57570-2023 tillsynsbegäran.docx", "A 57570-2023")</f>
        <v/>
      </c>
      <c r="AD19">
        <f>HYPERLINK("https://klasma.github.io/Logging_0560/tillsynsmail/A 57570-2023 tillsynsbegäran mail.docx", "A 57570-2023")</f>
        <v/>
      </c>
      <c r="AE19">
        <f>HYPERLINK("https://klasma.github.io/Logging_0560/fåglar/A 57570-2023 prioriterade fågelarter.docx", "A 57570-2023")</f>
        <v/>
      </c>
    </row>
    <row r="20" ht="15" customHeight="1">
      <c r="A20" t="inlineStr">
        <is>
          <t>A 62659-2025</t>
        </is>
      </c>
      <c r="B20" t="inlineStr">
        <is>
          <t>avverkningsanmälan</t>
        </is>
      </c>
      <c r="C20" t="inlineStr">
        <is>
          <t>Avverkning för att bevara och utveckla /försöksver</t>
        </is>
      </c>
      <c r="D20" s="1" t="n">
        <v>46008</v>
      </c>
      <c r="E20" s="1" t="n">
        <v>46324</v>
      </c>
      <c r="F20" t="inlineStr">
        <is>
          <t>ÖSTERGÖTLANDS LÄN</t>
        </is>
      </c>
      <c r="G20" t="inlineStr">
        <is>
          <t>BOXHOLM</t>
        </is>
      </c>
      <c r="H20" t="inlineStr">
        <is>
          <t>Övriga Aktiebolag</t>
        </is>
      </c>
      <c r="I20" t="n">
        <v>0.5</v>
      </c>
      <c r="J20" t="n">
        <v>0</v>
      </c>
      <c r="K20" t="n">
        <v>3</v>
      </c>
      <c r="L20" t="n">
        <v>0</v>
      </c>
      <c r="M20" t="n">
        <v>0</v>
      </c>
      <c r="N20" t="n">
        <v>0</v>
      </c>
      <c r="O20" t="n">
        <v>0</v>
      </c>
      <c r="P20" t="n">
        <v>0</v>
      </c>
      <c r="Q20" t="n">
        <v>0</v>
      </c>
      <c r="R20" t="n">
        <v>0</v>
      </c>
      <c r="S20" t="n">
        <v>3</v>
      </c>
      <c r="T20" t="n">
        <v>3</v>
      </c>
      <c r="U20" t="n">
        <v>0</v>
      </c>
      <c r="V20" s="2" t="inlineStr">
        <is>
          <t>Fällmossa
Platt fjädermossa
Svart trolldruva</t>
        </is>
      </c>
      <c r="W20">
        <f>HYPERLINK("https://klasma.github.io/Logging_0560/artfynd/A 62659-2025 artfynd.xlsx", "A 62659-2025")</f>
        <v/>
      </c>
      <c r="X20">
        <f>HYPERLINK("https://klasma.github.io/Logging_0560/kartor/A 62659-2025 karta.png", "A 62659-2025")</f>
        <v/>
      </c>
      <c r="Y20">
        <f>HYPERLINK("https://klasma.github.io/Logging_0560/kartor_geotiff/A 62659-2025 georefererad karta.tif", "A 62659-2025")</f>
        <v/>
      </c>
      <c r="AA20">
        <f>HYPERLINK("https://klasma.github.io/Logging_0560/klagomål/A 62659-2025 FSC-klagomål.docx", "A 62659-2025")</f>
        <v/>
      </c>
      <c r="AB20">
        <f>HYPERLINK("https://klasma.github.io/Logging_0560/klagomålsmail/A 62659-2025 FSC-klagomål mail.docx", "A 62659-2025")</f>
        <v/>
      </c>
      <c r="AC20">
        <f>HYPERLINK("https://klasma.github.io/Logging_0560/tillsyn/A 62659-2025 tillsynsbegäran.docx", "A 62659-2025")</f>
        <v/>
      </c>
      <c r="AD20">
        <f>HYPERLINK("https://klasma.github.io/Logging_0560/tillsynsmail/A 62659-2025 tillsynsbegäran mail.docx", "A 62659-2025")</f>
        <v/>
      </c>
    </row>
    <row r="21" ht="15" customHeight="1">
      <c r="A21" t="inlineStr">
        <is>
          <t>A 590-2026</t>
        </is>
      </c>
      <c r="B21" t="inlineStr">
        <is>
          <t>avverkningsanmälan</t>
        </is>
      </c>
      <c r="C21" t="inlineStr">
        <is>
          <t>Avverkning för att bevara och utveckla /försöksver</t>
        </is>
      </c>
      <c r="D21" s="1" t="n">
        <v>46029</v>
      </c>
      <c r="E21" s="1" t="n">
        <v>46324</v>
      </c>
      <c r="F21" t="inlineStr">
        <is>
          <t>ÖSTERGÖTLANDS LÄN</t>
        </is>
      </c>
      <c r="G21" t="inlineStr">
        <is>
          <t>BOXHOLM</t>
        </is>
      </c>
      <c r="H21" t="inlineStr">
        <is>
          <t>Övriga Aktiebolag</t>
        </is>
      </c>
      <c r="I21" t="n">
        <v>0.6</v>
      </c>
      <c r="J21" t="n">
        <v>0</v>
      </c>
      <c r="K21" t="n">
        <v>3</v>
      </c>
      <c r="L21" t="n">
        <v>0</v>
      </c>
      <c r="M21" t="n">
        <v>0</v>
      </c>
      <c r="N21" t="n">
        <v>0</v>
      </c>
      <c r="O21" t="n">
        <v>0</v>
      </c>
      <c r="P21" t="n">
        <v>0</v>
      </c>
      <c r="Q21" t="n">
        <v>0</v>
      </c>
      <c r="R21" t="n">
        <v>0</v>
      </c>
      <c r="S21" t="n">
        <v>3</v>
      </c>
      <c r="T21" t="n">
        <v>3</v>
      </c>
      <c r="U21" t="n">
        <v>0</v>
      </c>
      <c r="V21" s="2" t="inlineStr">
        <is>
          <t>Fällmossa
Rostfläck
Svart trolldruva</t>
        </is>
      </c>
      <c r="W21">
        <f>HYPERLINK("https://klasma.github.io/Logging_0560/artfynd/A 590-2026 artfynd.xlsx", "A 590-2026")</f>
        <v/>
      </c>
      <c r="X21">
        <f>HYPERLINK("https://klasma.github.io/Logging_0560/kartor/A 590-2026 karta.png", "A 590-2026")</f>
        <v/>
      </c>
      <c r="Y21">
        <f>HYPERLINK("https://klasma.github.io/Logging_0560/kartor_geotiff/A 590-2026 georefererad karta.tif", "A 590-2026")</f>
        <v/>
      </c>
      <c r="AA21">
        <f>HYPERLINK("https://klasma.github.io/Logging_0560/klagomål/A 590-2026 FSC-klagomål.docx", "A 590-2026")</f>
        <v/>
      </c>
      <c r="AB21">
        <f>HYPERLINK("https://klasma.github.io/Logging_0560/klagomålsmail/A 590-2026 FSC-klagomål mail.docx", "A 590-2026")</f>
        <v/>
      </c>
      <c r="AC21">
        <f>HYPERLINK("https://klasma.github.io/Logging_0560/tillsyn/A 590-2026 tillsynsbegäran.docx", "A 590-2026")</f>
        <v/>
      </c>
      <c r="AD21">
        <f>HYPERLINK("https://klasma.github.io/Logging_0560/tillsynsmail/A 590-2026 tillsynsbegäran mail.docx", "A 590-2026")</f>
        <v/>
      </c>
    </row>
    <row r="22" ht="15" customHeight="1">
      <c r="A22" t="inlineStr">
        <is>
          <t>A 19066-2026</t>
        </is>
      </c>
      <c r="B22" t="inlineStr">
        <is>
          <t>avverkningsanmälan</t>
        </is>
      </c>
      <c r="C22" t="inlineStr">
        <is>
          <t>Föryngringsavverkning</t>
        </is>
      </c>
      <c r="D22" s="1" t="n">
        <v>46132</v>
      </c>
      <c r="E22" s="1" t="n">
        <v>46324</v>
      </c>
      <c r="F22" t="inlineStr">
        <is>
          <t>ÖSTERGÖTLANDS LÄN</t>
        </is>
      </c>
      <c r="G22" t="inlineStr">
        <is>
          <t>BOXHOLM</t>
        </is>
      </c>
      <c r="H22" t="inlineStr">
        <is>
          <t>Övriga Aktiebolag</t>
        </is>
      </c>
      <c r="I22" t="n">
        <v>0.5</v>
      </c>
      <c r="J22" t="n">
        <v>1</v>
      </c>
      <c r="K22" t="n">
        <v>1</v>
      </c>
      <c r="L22" t="n">
        <v>0</v>
      </c>
      <c r="M22" t="n">
        <v>0</v>
      </c>
      <c r="N22" t="n">
        <v>1</v>
      </c>
      <c r="O22" t="n">
        <v>0</v>
      </c>
      <c r="P22" t="n">
        <v>0</v>
      </c>
      <c r="Q22" t="n">
        <v>1</v>
      </c>
      <c r="R22" t="n">
        <v>1</v>
      </c>
      <c r="S22" t="n">
        <v>3</v>
      </c>
      <c r="T22" t="n">
        <v>3</v>
      </c>
      <c r="U22" t="n">
        <v>0</v>
      </c>
      <c r="V22" s="2" t="inlineStr">
        <is>
          <t>Ask
Svart trolldruva
Blåsippa</t>
        </is>
      </c>
      <c r="W22">
        <f>HYPERLINK("https://klasma.github.io/Logging_0560/artfynd/A 19066-2026 artfynd.xlsx", "A 19066-2026")</f>
        <v/>
      </c>
      <c r="X22">
        <f>HYPERLINK("https://klasma.github.io/Logging_0560/kartor/A 19066-2026 karta.png", "A 19066-2026")</f>
        <v/>
      </c>
      <c r="Y22">
        <f>HYPERLINK("https://klasma.github.io/Logging_0560/kartor_geotiff/A 19066-2026 georefererad karta.tif", "A 19066-2026")</f>
        <v/>
      </c>
      <c r="AA22">
        <f>HYPERLINK("https://klasma.github.io/Logging_0560/klagomål/A 19066-2026 FSC-klagomål.docx", "A 19066-2026")</f>
        <v/>
      </c>
      <c r="AB22">
        <f>HYPERLINK("https://klasma.github.io/Logging_0560/klagomålsmail/A 19066-2026 FSC-klagomål mail.docx", "A 19066-2026")</f>
        <v/>
      </c>
      <c r="AC22">
        <f>HYPERLINK("https://klasma.github.io/Logging_0560/tillsyn/A 19066-2026 tillsynsbegäran.docx", "A 19066-2026")</f>
        <v/>
      </c>
      <c r="AD22">
        <f>HYPERLINK("https://klasma.github.io/Logging_0560/tillsynsmail/A 19066-2026 tillsynsbegäran mail.docx", "A 19066-2026")</f>
        <v/>
      </c>
    </row>
    <row r="23" ht="15" customHeight="1">
      <c r="A23" t="inlineStr">
        <is>
          <t>S 3422-2025</t>
        </is>
      </c>
      <c r="B23" t="inlineStr">
        <is>
          <t>samrådsanmälan</t>
        </is>
      </c>
      <c r="C23" t="inlineStr">
        <is>
          <t>Annan skogsbruksåtgärd</t>
        </is>
      </c>
      <c r="D23" s="1" t="n">
        <v>45996</v>
      </c>
      <c r="E23" s="1" t="n">
        <v>46324</v>
      </c>
      <c r="F23" t="inlineStr">
        <is>
          <t>ÖSTERGÖTLANDS LÄN</t>
        </is>
      </c>
      <c r="G23" t="inlineStr">
        <is>
          <t>BOXHOLM</t>
        </is>
      </c>
      <c r="H23" t="inlineStr">
        <is>
          <t>Övriga Aktiebolag</t>
        </is>
      </c>
      <c r="I23" t="n">
        <v>2.7</v>
      </c>
      <c r="J23" t="n">
        <v>0</v>
      </c>
      <c r="K23" t="n">
        <v>2</v>
      </c>
      <c r="L23" t="n">
        <v>1</v>
      </c>
      <c r="M23" t="n">
        <v>0</v>
      </c>
      <c r="N23" t="n">
        <v>0</v>
      </c>
      <c r="O23" t="n">
        <v>0</v>
      </c>
      <c r="P23" t="n">
        <v>0</v>
      </c>
      <c r="Q23" t="n">
        <v>1</v>
      </c>
      <c r="R23" t="n">
        <v>0</v>
      </c>
      <c r="S23" t="n">
        <v>3</v>
      </c>
      <c r="T23" t="n">
        <v>3</v>
      </c>
      <c r="U23" t="n">
        <v>0</v>
      </c>
      <c r="V23" s="2" t="inlineStr">
        <is>
          <t>Korallticka
Fällmossa
Stubbspretmossa</t>
        </is>
      </c>
      <c r="W23">
        <f>HYPERLINK("https://klasma.github.io/Logging_0560/artfynd/S 3422-2025 artfynd.xlsx", "S 3422-2025")</f>
        <v/>
      </c>
      <c r="X23">
        <f>HYPERLINK("https://klasma.github.io/Logging_0560/kartor/S 3422-2025 karta.png", "S 3422-2025")</f>
        <v/>
      </c>
      <c r="Y23">
        <f>HYPERLINK("https://klasma.github.io/Logging_0560/kartor_geotiff/S 3422-2025 georefererad karta.tif", "S 3422-2025")</f>
        <v/>
      </c>
      <c r="AA23">
        <f>HYPERLINK("https://klasma.github.io/Logging_0560/klagomål/S 3422-2025 FSC-klagomål.docx", "S 3422-2025")</f>
        <v/>
      </c>
      <c r="AB23">
        <f>HYPERLINK("https://klasma.github.io/Logging_0560/klagomålsmail/S 3422-2025 FSC-klagomål mail.docx", "S 3422-2025")</f>
        <v/>
      </c>
      <c r="AC23">
        <f>HYPERLINK("https://klasma.github.io/Logging_0560/tillsyn/S 3422-2025 tillsynsbegäran.docx", "S 3422-2025")</f>
        <v/>
      </c>
      <c r="AD23">
        <f>HYPERLINK("https://klasma.github.io/Logging_0560/tillsynsmail/S 3422-2025 tillsynsbegäran mail.docx", "S 3422-2025")</f>
        <v/>
      </c>
    </row>
    <row r="24" ht="15" customHeight="1">
      <c r="A24" t="inlineStr">
        <is>
          <t>A 26638-2023</t>
        </is>
      </c>
      <c r="B24" t="inlineStr">
        <is>
          <t>avverkningsanmälan</t>
        </is>
      </c>
      <c r="C24" t="inlineStr">
        <is>
          <t>Föryngringsavverkning</t>
        </is>
      </c>
      <c r="D24" s="1" t="n">
        <v>45092</v>
      </c>
      <c r="E24" s="1" t="n">
        <v>46324</v>
      </c>
      <c r="F24" t="inlineStr">
        <is>
          <t>ÖSTERGÖTLANDS LÄN</t>
        </is>
      </c>
      <c r="G24" t="inlineStr">
        <is>
          <t>BOXHOLM</t>
        </is>
      </c>
      <c r="H24" t="inlineStr">
        <is>
          <t>Allmännings- och besparingsskogar</t>
        </is>
      </c>
      <c r="I24" t="n">
        <v>8.4</v>
      </c>
      <c r="J24" t="n">
        <v>0</v>
      </c>
      <c r="K24" t="n">
        <v>0</v>
      </c>
      <c r="L24" t="n">
        <v>2</v>
      </c>
      <c r="M24" t="n">
        <v>0</v>
      </c>
      <c r="N24" t="n">
        <v>0</v>
      </c>
      <c r="O24" t="n">
        <v>0</v>
      </c>
      <c r="P24" t="n">
        <v>0</v>
      </c>
      <c r="Q24" t="n">
        <v>2</v>
      </c>
      <c r="R24" t="n">
        <v>0</v>
      </c>
      <c r="S24" t="n">
        <v>2</v>
      </c>
      <c r="T24" t="n">
        <v>2</v>
      </c>
      <c r="U24" t="n">
        <v>0</v>
      </c>
      <c r="V24" s="2" t="inlineStr">
        <is>
          <t>Ullticka
Vedtrappmossa</t>
        </is>
      </c>
      <c r="W24">
        <f>HYPERLINK("https://klasma.github.io/Logging_0560/artfynd/A 26638-2023 artfynd.xlsx", "A 26638-2023")</f>
        <v/>
      </c>
      <c r="X24">
        <f>HYPERLINK("https://klasma.github.io/Logging_0560/kartor/A 26638-2023 karta.png", "A 26638-2023")</f>
        <v/>
      </c>
      <c r="Y24">
        <f>HYPERLINK("https://klasma.github.io/Logging_0560/kartor_geotiff/A 26638-2023 georefererad karta.tif", "A 26638-2023")</f>
        <v/>
      </c>
      <c r="AA24">
        <f>HYPERLINK("https://klasma.github.io/Logging_0560/klagomål/A 26638-2023 FSC-klagomål.docx", "A 26638-2023")</f>
        <v/>
      </c>
      <c r="AB24">
        <f>HYPERLINK("https://klasma.github.io/Logging_0560/klagomålsmail/A 26638-2023 FSC-klagomål mail.docx", "A 26638-2023")</f>
        <v/>
      </c>
      <c r="AC24">
        <f>HYPERLINK("https://klasma.github.io/Logging_0560/tillsyn/A 26638-2023 tillsynsbegäran.docx", "A 26638-2023")</f>
        <v/>
      </c>
      <c r="AD24">
        <f>HYPERLINK("https://klasma.github.io/Logging_0560/tillsynsmail/A 26638-2023 tillsynsbegäran mail.docx", "A 26638-2023")</f>
        <v/>
      </c>
    </row>
    <row r="25" ht="15" customHeight="1">
      <c r="A25" t="inlineStr">
        <is>
          <t>A 19566-2022</t>
        </is>
      </c>
      <c r="B25" t="inlineStr">
        <is>
          <t>avverkningsanmälan</t>
        </is>
      </c>
      <c r="C25" t="inlineStr">
        <is>
          <t>Föryngringsavverkning</t>
        </is>
      </c>
      <c r="D25" s="1" t="n">
        <v>44693</v>
      </c>
      <c r="E25" s="1" t="n">
        <v>46324</v>
      </c>
      <c r="F25" t="inlineStr">
        <is>
          <t>ÖSTERGÖTLANDS LÄN</t>
        </is>
      </c>
      <c r="G25" t="inlineStr">
        <is>
          <t>BOXHOLM</t>
        </is>
      </c>
      <c r="I25" t="n">
        <v>2.2</v>
      </c>
      <c r="J25" t="n">
        <v>2</v>
      </c>
      <c r="K25" t="n">
        <v>0</v>
      </c>
      <c r="L25" t="n">
        <v>2</v>
      </c>
      <c r="M25" t="n">
        <v>0</v>
      </c>
      <c r="N25" t="n">
        <v>0</v>
      </c>
      <c r="O25" t="n">
        <v>0</v>
      </c>
      <c r="P25" t="n">
        <v>0</v>
      </c>
      <c r="Q25" t="n">
        <v>2</v>
      </c>
      <c r="R25" t="n">
        <v>0</v>
      </c>
      <c r="S25" t="n">
        <v>2</v>
      </c>
      <c r="T25" t="n">
        <v>3</v>
      </c>
      <c r="U25" t="n">
        <v>3</v>
      </c>
      <c r="V25" s="2" t="inlineStr">
        <is>
          <t>Gulsparv
Rödvingetrast</t>
        </is>
      </c>
      <c r="W25">
        <f>HYPERLINK("https://klasma.github.io/Logging_0560/artfynd/A 19566-2022 artfynd.xlsx", "A 19566-2022")</f>
        <v/>
      </c>
      <c r="X25">
        <f>HYPERLINK("https://klasma.github.io/Logging_0560/kartor/A 19566-2022 karta.png", "A 19566-2022")</f>
        <v/>
      </c>
      <c r="Y25">
        <f>HYPERLINK("https://klasma.github.io/Logging_0560/kartor_geotiff/A 19566-2022 georefererad karta.tif", "A 19566-2022")</f>
        <v/>
      </c>
      <c r="AA25">
        <f>HYPERLINK("https://klasma.github.io/Logging_0560/klagomål/A 19566-2022 FSC-klagomål.docx", "A 19566-2022")</f>
        <v/>
      </c>
      <c r="AB25">
        <f>HYPERLINK("https://klasma.github.io/Logging_0560/klagomålsmail/A 19566-2022 FSC-klagomål mail.docx", "A 19566-2022")</f>
        <v/>
      </c>
      <c r="AC25">
        <f>HYPERLINK("https://klasma.github.io/Logging_0560/tillsyn/A 19566-2022 tillsynsbegäran.docx", "A 19566-2022")</f>
        <v/>
      </c>
      <c r="AD25">
        <f>HYPERLINK("https://klasma.github.io/Logging_0560/tillsynsmail/A 19566-2022 tillsynsbegäran mail.docx", "A 19566-2022")</f>
        <v/>
      </c>
      <c r="AE25">
        <f>HYPERLINK("https://klasma.github.io/Logging_0560/fåglar/A 19566-2022 prioriterade fågelarter.docx", "A 19566-2022")</f>
        <v/>
      </c>
    </row>
    <row r="26" ht="15" customHeight="1">
      <c r="A26" t="inlineStr">
        <is>
          <t>A 26907-2022</t>
        </is>
      </c>
      <c r="B26" t="inlineStr">
        <is>
          <t>avverkningsanmälan</t>
        </is>
      </c>
      <c r="C26" t="inlineStr">
        <is>
          <t>Föryngringsavverkning</t>
        </is>
      </c>
      <c r="D26" s="1" t="n">
        <v>44740</v>
      </c>
      <c r="E26" s="1" t="n">
        <v>46324</v>
      </c>
      <c r="F26" t="inlineStr">
        <is>
          <t>ÖSTERGÖTLANDS LÄN</t>
        </is>
      </c>
      <c r="G26" t="inlineStr">
        <is>
          <t>BOXHOLM</t>
        </is>
      </c>
      <c r="H26" t="inlineStr">
        <is>
          <t>Övriga Aktiebolag</t>
        </is>
      </c>
      <c r="I26" t="n">
        <v>4.7</v>
      </c>
      <c r="J26" t="n">
        <v>2</v>
      </c>
      <c r="K26" t="n">
        <v>0</v>
      </c>
      <c r="L26" t="n">
        <v>0</v>
      </c>
      <c r="M26" t="n">
        <v>0</v>
      </c>
      <c r="N26" t="n">
        <v>0</v>
      </c>
      <c r="O26" t="n">
        <v>0</v>
      </c>
      <c r="P26" t="n">
        <v>0</v>
      </c>
      <c r="Q26" t="n">
        <v>0</v>
      </c>
      <c r="R26" t="n">
        <v>0</v>
      </c>
      <c r="S26" t="n">
        <v>2</v>
      </c>
      <c r="T26" t="n">
        <v>2</v>
      </c>
      <c r="U26" t="n">
        <v>2</v>
      </c>
      <c r="V26" s="2" t="inlineStr">
        <is>
          <t>Hasselmus
Orre</t>
        </is>
      </c>
      <c r="W26">
        <f>HYPERLINK("https://klasma.github.io/Logging_0560/artfynd/A 26907-2022 artfynd.xlsx", "A 26907-2022")</f>
        <v/>
      </c>
      <c r="X26">
        <f>HYPERLINK("https://klasma.github.io/Logging_0560/kartor/A 26907-2022 karta.png", "A 26907-2022")</f>
        <v/>
      </c>
      <c r="Y26">
        <f>HYPERLINK("https://klasma.github.io/Logging_0560/kartor_geotiff/A 26907-2022 georefererad karta.tif", "A 26907-2022")</f>
        <v/>
      </c>
      <c r="AA26">
        <f>HYPERLINK("https://klasma.github.io/Logging_0560/klagomål/A 26907-2022 FSC-klagomål.docx", "A 26907-2022")</f>
        <v/>
      </c>
      <c r="AB26">
        <f>HYPERLINK("https://klasma.github.io/Logging_0560/klagomålsmail/A 26907-2022 FSC-klagomål mail.docx", "A 26907-2022")</f>
        <v/>
      </c>
      <c r="AC26">
        <f>HYPERLINK("https://klasma.github.io/Logging_0560/tillsyn/A 26907-2022 tillsynsbegäran.docx", "A 26907-2022")</f>
        <v/>
      </c>
      <c r="AD26">
        <f>HYPERLINK("https://klasma.github.io/Logging_0560/tillsynsmail/A 26907-2022 tillsynsbegäran mail.docx", "A 26907-2022")</f>
        <v/>
      </c>
      <c r="AE26">
        <f>HYPERLINK("https://klasma.github.io/Logging_0560/fåglar/A 26907-2022 prioriterade fågelarter.docx", "A 26907-2022")</f>
        <v/>
      </c>
    </row>
    <row r="27" ht="15" customHeight="1">
      <c r="A27" t="inlineStr">
        <is>
          <t>A 40509-2023</t>
        </is>
      </c>
      <c r="B27" t="inlineStr">
        <is>
          <t>avverkningsanmälan</t>
        </is>
      </c>
      <c r="C27" t="inlineStr">
        <is>
          <t>Föryngringsavverkning</t>
        </is>
      </c>
      <c r="D27" s="1" t="n">
        <v>45170</v>
      </c>
      <c r="E27" s="1" t="n">
        <v>46324</v>
      </c>
      <c r="F27" t="inlineStr">
        <is>
          <t>ÖSTERGÖTLANDS LÄN</t>
        </is>
      </c>
      <c r="G27" t="inlineStr">
        <is>
          <t>BOXHOLM</t>
        </is>
      </c>
      <c r="H27" t="inlineStr">
        <is>
          <t>Kyrkan</t>
        </is>
      </c>
      <c r="I27" t="n">
        <v>3.4</v>
      </c>
      <c r="J27" t="n">
        <v>1</v>
      </c>
      <c r="K27" t="n">
        <v>1</v>
      </c>
      <c r="L27" t="n">
        <v>0</v>
      </c>
      <c r="M27" t="n">
        <v>0</v>
      </c>
      <c r="N27" t="n">
        <v>0</v>
      </c>
      <c r="O27" t="n">
        <v>0</v>
      </c>
      <c r="P27" t="n">
        <v>0</v>
      </c>
      <c r="Q27" t="n">
        <v>0</v>
      </c>
      <c r="R27" t="n">
        <v>0</v>
      </c>
      <c r="S27" t="n">
        <v>2</v>
      </c>
      <c r="T27" t="n">
        <v>2</v>
      </c>
      <c r="U27" t="n">
        <v>0</v>
      </c>
      <c r="V27" s="2" t="inlineStr">
        <is>
          <t>Fällmossa
Blåsippa</t>
        </is>
      </c>
      <c r="W27">
        <f>HYPERLINK("https://klasma.github.io/Logging_0560/artfynd/A 40509-2023 artfynd.xlsx", "A 40509-2023")</f>
        <v/>
      </c>
      <c r="X27">
        <f>HYPERLINK("https://klasma.github.io/Logging_0560/kartor/A 40509-2023 karta.png", "A 40509-2023")</f>
        <v/>
      </c>
      <c r="Y27">
        <f>HYPERLINK("https://klasma.github.io/Logging_0560/kartor_geotiff/A 40509-2023 georefererad karta.tif", "A 40509-2023")</f>
        <v/>
      </c>
      <c r="AA27">
        <f>HYPERLINK("https://klasma.github.io/Logging_0560/klagomål/A 40509-2023 FSC-klagomål.docx", "A 40509-2023")</f>
        <v/>
      </c>
      <c r="AB27">
        <f>HYPERLINK("https://klasma.github.io/Logging_0560/klagomålsmail/A 40509-2023 FSC-klagomål mail.docx", "A 40509-2023")</f>
        <v/>
      </c>
      <c r="AC27">
        <f>HYPERLINK("https://klasma.github.io/Logging_0560/tillsyn/A 40509-2023 tillsynsbegäran.docx", "A 40509-2023")</f>
        <v/>
      </c>
      <c r="AD27">
        <f>HYPERLINK("https://klasma.github.io/Logging_0560/tillsynsmail/A 40509-2023 tillsynsbegäran mail.docx", "A 40509-2023")</f>
        <v/>
      </c>
    </row>
    <row r="28" ht="15" customHeight="1">
      <c r="A28" t="inlineStr">
        <is>
          <t>A 61795-2025</t>
        </is>
      </c>
      <c r="B28" t="inlineStr">
        <is>
          <t>avverkningsanmälan</t>
        </is>
      </c>
      <c r="C28" t="inlineStr">
        <is>
          <t>Föryngringsavverkning</t>
        </is>
      </c>
      <c r="D28" s="1" t="n">
        <v>46002</v>
      </c>
      <c r="E28" s="1" t="n">
        <v>46324</v>
      </c>
      <c r="F28" t="inlineStr">
        <is>
          <t>ÖSTERGÖTLANDS LÄN</t>
        </is>
      </c>
      <c r="G28" t="inlineStr">
        <is>
          <t>BOXHOLM</t>
        </is>
      </c>
      <c r="H28" t="inlineStr">
        <is>
          <t>Allmännings- och besparingsskogar</t>
        </is>
      </c>
      <c r="I28" t="n">
        <v>10.3</v>
      </c>
      <c r="J28" t="n">
        <v>1</v>
      </c>
      <c r="K28" t="n">
        <v>0</v>
      </c>
      <c r="L28" t="n">
        <v>1</v>
      </c>
      <c r="M28" t="n">
        <v>1</v>
      </c>
      <c r="N28" t="n">
        <v>0</v>
      </c>
      <c r="O28" t="n">
        <v>0</v>
      </c>
      <c r="P28" t="n">
        <v>0</v>
      </c>
      <c r="Q28" t="n">
        <v>2</v>
      </c>
      <c r="R28" t="n">
        <v>1</v>
      </c>
      <c r="S28" t="n">
        <v>2</v>
      </c>
      <c r="T28" t="n">
        <v>5</v>
      </c>
      <c r="U28" t="n">
        <v>5</v>
      </c>
      <c r="V28" s="2" t="inlineStr">
        <is>
          <t>Knärot
Kolflarnlav</t>
        </is>
      </c>
      <c r="W28">
        <f>HYPERLINK("https://klasma.github.io/Logging_0560/artfynd/A 61795-2025 artfynd.xlsx", "A 61795-2025")</f>
        <v/>
      </c>
      <c r="X28">
        <f>HYPERLINK("https://klasma.github.io/Logging_0560/kartor/A 61795-2025 karta.png", "A 61795-2025")</f>
        <v/>
      </c>
      <c r="Y28">
        <f>HYPERLINK("https://klasma.github.io/Logging_0560/kartor_geotiff/A 61795-2025 georefererad karta.tif", "A 61795-2025")</f>
        <v/>
      </c>
      <c r="Z28">
        <f>HYPERLINK("https://klasma.github.io/Logging_0560/knärot/A 61795-2025 karta knärot.png", "A 61795-2025")</f>
        <v/>
      </c>
      <c r="AA28">
        <f>HYPERLINK("https://klasma.github.io/Logging_0560/klagomål/A 61795-2025 FSC-klagomål.docx", "A 61795-2025")</f>
        <v/>
      </c>
      <c r="AB28">
        <f>HYPERLINK("https://klasma.github.io/Logging_0560/klagomålsmail/A 61795-2025 FSC-klagomål mail.docx", "A 61795-2025")</f>
        <v/>
      </c>
      <c r="AC28">
        <f>HYPERLINK("https://klasma.github.io/Logging_0560/tillsyn/A 61795-2025 tillsynsbegäran.docx", "A 61795-2025")</f>
        <v/>
      </c>
      <c r="AD28">
        <f>HYPERLINK("https://klasma.github.io/Logging_0560/tillsynsmail/A 61795-2025 tillsynsbegäran mail.docx", "A 61795-2025")</f>
        <v/>
      </c>
    </row>
    <row r="29" ht="15" customHeight="1">
      <c r="A29" t="inlineStr">
        <is>
          <t>A 4004-2026</t>
        </is>
      </c>
      <c r="B29" t="inlineStr">
        <is>
          <t>avverkningsanmälan</t>
        </is>
      </c>
      <c r="C29" t="inlineStr">
        <is>
          <t>Föryngringsavverkning</t>
        </is>
      </c>
      <c r="D29" s="1" t="n">
        <v>46044</v>
      </c>
      <c r="E29" s="1" t="n">
        <v>46324</v>
      </c>
      <c r="F29" t="inlineStr">
        <is>
          <t>ÖSTERGÖTLANDS LÄN</t>
        </is>
      </c>
      <c r="G29" t="inlineStr">
        <is>
          <t>BOXHOLM</t>
        </is>
      </c>
      <c r="I29" t="n">
        <v>2.7</v>
      </c>
      <c r="J29" t="n">
        <v>1</v>
      </c>
      <c r="K29" t="n">
        <v>0</v>
      </c>
      <c r="L29" t="n">
        <v>0</v>
      </c>
      <c r="M29" t="n">
        <v>1</v>
      </c>
      <c r="N29" t="n">
        <v>0</v>
      </c>
      <c r="O29" t="n">
        <v>0</v>
      </c>
      <c r="P29" t="n">
        <v>0</v>
      </c>
      <c r="Q29" t="n">
        <v>1</v>
      </c>
      <c r="R29" t="n">
        <v>1</v>
      </c>
      <c r="S29" t="n">
        <v>2</v>
      </c>
      <c r="T29" t="n">
        <v>5</v>
      </c>
      <c r="U29" t="n">
        <v>0</v>
      </c>
      <c r="V29" s="2" t="inlineStr">
        <is>
          <t>Krokfibbla
Blåsippa</t>
        </is>
      </c>
      <c r="W29">
        <f>HYPERLINK("https://klasma.github.io/Logging_0560/artfynd/A 4004-2026 artfynd.xlsx", "A 4004-2026")</f>
        <v/>
      </c>
      <c r="X29">
        <f>HYPERLINK("https://klasma.github.io/Logging_0560/kartor/A 4004-2026 karta.png", "A 4004-2026")</f>
        <v/>
      </c>
      <c r="Y29">
        <f>HYPERLINK("https://klasma.github.io/Logging_0560/kartor_geotiff/A 4004-2026 georefererad karta.tif", "A 4004-2026")</f>
        <v/>
      </c>
      <c r="AA29">
        <f>HYPERLINK("https://klasma.github.io/Logging_0560/klagomål/A 4004-2026 FSC-klagomål.docx", "A 4004-2026")</f>
        <v/>
      </c>
      <c r="AB29">
        <f>HYPERLINK("https://klasma.github.io/Logging_0560/klagomålsmail/A 4004-2026 FSC-klagomål mail.docx", "A 4004-2026")</f>
        <v/>
      </c>
      <c r="AC29">
        <f>HYPERLINK("https://klasma.github.io/Logging_0560/tillsyn/A 4004-2026 tillsynsbegäran.docx", "A 4004-2026")</f>
        <v/>
      </c>
      <c r="AD29">
        <f>HYPERLINK("https://klasma.github.io/Logging_0560/tillsynsmail/A 4004-2026 tillsynsbegäran mail.docx", "A 4004-2026")</f>
        <v/>
      </c>
    </row>
    <row r="30" ht="15" customHeight="1">
      <c r="A30" t="inlineStr">
        <is>
          <t>A 19560-2024</t>
        </is>
      </c>
      <c r="B30" t="inlineStr">
        <is>
          <t>avverkningsanmälan</t>
        </is>
      </c>
      <c r="C30" t="inlineStr">
        <is>
          <t>Föryngringsavverkning</t>
        </is>
      </c>
      <c r="D30" s="1" t="n">
        <v>45429</v>
      </c>
      <c r="E30" s="1" t="n">
        <v>46324</v>
      </c>
      <c r="F30" t="inlineStr">
        <is>
          <t>ÖSTERGÖTLANDS LÄN</t>
        </is>
      </c>
      <c r="G30" t="inlineStr">
        <is>
          <t>BOXHOLM</t>
        </is>
      </c>
      <c r="I30" t="n">
        <v>3.8</v>
      </c>
      <c r="J30" t="n">
        <v>1</v>
      </c>
      <c r="K30" t="n">
        <v>0</v>
      </c>
      <c r="L30" t="n">
        <v>1</v>
      </c>
      <c r="M30" t="n">
        <v>0</v>
      </c>
      <c r="N30" t="n">
        <v>0</v>
      </c>
      <c r="O30" t="n">
        <v>0</v>
      </c>
      <c r="P30" t="n">
        <v>0</v>
      </c>
      <c r="Q30" t="n">
        <v>1</v>
      </c>
      <c r="R30" t="n">
        <v>0</v>
      </c>
      <c r="S30" t="n">
        <v>2</v>
      </c>
      <c r="T30" t="n">
        <v>2</v>
      </c>
      <c r="U30" t="n">
        <v>2</v>
      </c>
      <c r="V30" s="2" t="inlineStr">
        <is>
          <t>Gullklöver
Törnskata</t>
        </is>
      </c>
      <c r="W30">
        <f>HYPERLINK("https://klasma.github.io/Logging_0560/artfynd/A 19560-2024 artfynd.xlsx", "A 19560-2024")</f>
        <v/>
      </c>
      <c r="X30">
        <f>HYPERLINK("https://klasma.github.io/Logging_0560/kartor/A 19560-2024 karta.png", "A 19560-2024")</f>
        <v/>
      </c>
      <c r="Y30">
        <f>HYPERLINK("https://klasma.github.io/Logging_0560/kartor_geotiff/A 19560-2024 georefererad karta.tif", "A 19560-2024")</f>
        <v/>
      </c>
      <c r="AA30">
        <f>HYPERLINK("https://klasma.github.io/Logging_0560/klagomål/A 19560-2024 FSC-klagomål.docx", "A 19560-2024")</f>
        <v/>
      </c>
      <c r="AB30">
        <f>HYPERLINK("https://klasma.github.io/Logging_0560/klagomålsmail/A 19560-2024 FSC-klagomål mail.docx", "A 19560-2024")</f>
        <v/>
      </c>
      <c r="AC30">
        <f>HYPERLINK("https://klasma.github.io/Logging_0560/tillsyn/A 19560-2024 tillsynsbegäran.docx", "A 19560-2024")</f>
        <v/>
      </c>
      <c r="AD30">
        <f>HYPERLINK("https://klasma.github.io/Logging_0560/tillsynsmail/A 19560-2024 tillsynsbegäran mail.docx", "A 19560-2024")</f>
        <v/>
      </c>
      <c r="AE30">
        <f>HYPERLINK("https://klasma.github.io/Logging_0560/fåglar/A 19560-2024 prioriterade fågelarter.docx", "A 19560-2024")</f>
        <v/>
      </c>
    </row>
    <row r="31" ht="15" customHeight="1">
      <c r="A31" t="inlineStr">
        <is>
          <t>A 14785-2026</t>
        </is>
      </c>
      <c r="B31" t="inlineStr">
        <is>
          <t>avverkningsanmälan</t>
        </is>
      </c>
      <c r="C31" t="inlineStr">
        <is>
          <t>Avverkning för att bevara och utveckla /försöksver</t>
        </is>
      </c>
      <c r="D31" s="1" t="n">
        <v>46101</v>
      </c>
      <c r="E31" s="1" t="n">
        <v>46324</v>
      </c>
      <c r="F31" t="inlineStr">
        <is>
          <t>ÖSTERGÖTLANDS LÄN</t>
        </is>
      </c>
      <c r="G31" t="inlineStr">
        <is>
          <t>BOXHOLM</t>
        </is>
      </c>
      <c r="H31" t="inlineStr">
        <is>
          <t>Övriga Aktiebolag</t>
        </is>
      </c>
      <c r="I31" t="n">
        <v>1.7</v>
      </c>
      <c r="J31" t="n">
        <v>1</v>
      </c>
      <c r="K31" t="n">
        <v>0</v>
      </c>
      <c r="L31" t="n">
        <v>1</v>
      </c>
      <c r="M31" t="n">
        <v>0</v>
      </c>
      <c r="N31" t="n">
        <v>0</v>
      </c>
      <c r="O31" t="n">
        <v>0</v>
      </c>
      <c r="P31" t="n">
        <v>0</v>
      </c>
      <c r="Q31" t="n">
        <v>1</v>
      </c>
      <c r="R31" t="n">
        <v>0</v>
      </c>
      <c r="S31" t="n">
        <v>2</v>
      </c>
      <c r="T31" t="n">
        <v>2</v>
      </c>
      <c r="U31" t="n">
        <v>0</v>
      </c>
      <c r="V31" s="2" t="inlineStr">
        <is>
          <t>Svinrot
Grönvit nattviol</t>
        </is>
      </c>
      <c r="W31">
        <f>HYPERLINK("https://klasma.github.io/Logging_0560/artfynd/A 14785-2026 artfynd.xlsx", "A 14785-2026")</f>
        <v/>
      </c>
      <c r="X31">
        <f>HYPERLINK("https://klasma.github.io/Logging_0560/kartor/A 14785-2026 karta.png", "A 14785-2026")</f>
        <v/>
      </c>
      <c r="Y31">
        <f>HYPERLINK("https://klasma.github.io/Logging_0560/kartor_geotiff/A 14785-2026 georefererad karta.tif", "A 14785-2026")</f>
        <v/>
      </c>
      <c r="AA31">
        <f>HYPERLINK("https://klasma.github.io/Logging_0560/klagomål/A 14785-2026 FSC-klagomål.docx", "A 14785-2026")</f>
        <v/>
      </c>
      <c r="AB31">
        <f>HYPERLINK("https://klasma.github.io/Logging_0560/klagomålsmail/A 14785-2026 FSC-klagomål mail.docx", "A 14785-2026")</f>
        <v/>
      </c>
      <c r="AC31">
        <f>HYPERLINK("https://klasma.github.io/Logging_0560/tillsyn/A 14785-2026 tillsynsbegäran.docx", "A 14785-2026")</f>
        <v/>
      </c>
      <c r="AD31">
        <f>HYPERLINK("https://klasma.github.io/Logging_0560/tillsynsmail/A 14785-2026 tillsynsbegäran mail.docx", "A 14785-2026")</f>
        <v/>
      </c>
    </row>
    <row r="32" ht="15" customHeight="1">
      <c r="A32" t="inlineStr">
        <is>
          <t>A 41874-2026</t>
        </is>
      </c>
      <c r="B32" t="inlineStr">
        <is>
          <t>avverkningsanmälan</t>
        </is>
      </c>
      <c r="C32" t="inlineStr">
        <is>
          <t>Avverkning för att bevara och utveckla /försöksver</t>
        </is>
      </c>
      <c r="D32" s="1" t="n">
        <v>46303</v>
      </c>
      <c r="E32" s="1" t="n">
        <v>46324</v>
      </c>
      <c r="F32" t="inlineStr">
        <is>
          <t>ÖSTERGÖTLANDS LÄN</t>
        </is>
      </c>
      <c r="G32" t="inlineStr">
        <is>
          <t>BOXHOLM</t>
        </is>
      </c>
      <c r="H32" t="inlineStr">
        <is>
          <t>Övriga Aktiebolag</t>
        </is>
      </c>
      <c r="I32" t="n">
        <v>2.2</v>
      </c>
      <c r="J32" t="n">
        <v>0</v>
      </c>
      <c r="K32" t="n">
        <v>0</v>
      </c>
      <c r="L32" t="n">
        <v>2</v>
      </c>
      <c r="M32" t="n">
        <v>0</v>
      </c>
      <c r="N32" t="n">
        <v>0</v>
      </c>
      <c r="O32" t="n">
        <v>0</v>
      </c>
      <c r="P32" t="n">
        <v>0</v>
      </c>
      <c r="Q32" t="n">
        <v>2</v>
      </c>
      <c r="R32" t="n">
        <v>0</v>
      </c>
      <c r="S32" t="n">
        <v>2</v>
      </c>
      <c r="T32" t="n">
        <v>2</v>
      </c>
      <c r="U32" t="n">
        <v>1</v>
      </c>
      <c r="V32" s="2" t="inlineStr">
        <is>
          <t>Puderfläck
Vårstarr</t>
        </is>
      </c>
      <c r="W32">
        <f>HYPERLINK("https://klasma.github.io/Logging_0560/artfynd/A 41874-2026 artfynd.xlsx", "A 41874-2026")</f>
        <v/>
      </c>
      <c r="X32">
        <f>HYPERLINK("https://klasma.github.io/Logging_0560/kartor/A 41874-2026 karta.png", "A 41874-2026")</f>
        <v/>
      </c>
      <c r="Y32">
        <f>HYPERLINK("https://klasma.github.io/Logging_0560/kartor_geotiff/A 41874-2026 georefererad karta.tif", "A 41874-2026")</f>
        <v/>
      </c>
      <c r="AA32">
        <f>HYPERLINK("https://klasma.github.io/Logging_0560/klagomål/A 41874-2026 FSC-klagomål.docx", "A 41874-2026")</f>
        <v/>
      </c>
      <c r="AB32">
        <f>HYPERLINK("https://klasma.github.io/Logging_0560/klagomålsmail/A 41874-2026 FSC-klagomål mail.docx", "A 41874-2026")</f>
        <v/>
      </c>
      <c r="AC32">
        <f>HYPERLINK("https://klasma.github.io/Logging_0560/tillsyn/A 41874-2026 tillsynsbegäran.docx", "A 41874-2026")</f>
        <v/>
      </c>
      <c r="AD32">
        <f>HYPERLINK("https://klasma.github.io/Logging_0560/tillsynsmail/A 41874-2026 tillsynsbegäran mail.docx", "A 41874-2026")</f>
        <v/>
      </c>
    </row>
    <row r="33" ht="15" customHeight="1">
      <c r="A33" t="inlineStr">
        <is>
          <t>A 29396-2023</t>
        </is>
      </c>
      <c r="B33" t="inlineStr">
        <is>
          <t>avverkningsanmälan</t>
        </is>
      </c>
      <c r="C33" t="inlineStr">
        <is>
          <t>Föryngringsavverkning</t>
        </is>
      </c>
      <c r="D33" s="1" t="n">
        <v>45106</v>
      </c>
      <c r="E33" s="1" t="n">
        <v>46324</v>
      </c>
      <c r="F33" t="inlineStr">
        <is>
          <t>ÖSTERGÖTLANDS LÄN</t>
        </is>
      </c>
      <c r="G33" t="inlineStr">
        <is>
          <t>BOXHOLM</t>
        </is>
      </c>
      <c r="I33" t="n">
        <v>0.5</v>
      </c>
      <c r="J33" t="n">
        <v>0</v>
      </c>
      <c r="K33" t="n">
        <v>0</v>
      </c>
      <c r="L33" t="n">
        <v>1</v>
      </c>
      <c r="M33" t="n">
        <v>0</v>
      </c>
      <c r="N33" t="n">
        <v>0</v>
      </c>
      <c r="O33" t="n">
        <v>0</v>
      </c>
      <c r="P33" t="n">
        <v>0</v>
      </c>
      <c r="Q33" t="n">
        <v>1</v>
      </c>
      <c r="R33" t="n">
        <v>0</v>
      </c>
      <c r="S33" t="n">
        <v>1</v>
      </c>
      <c r="T33" t="n">
        <v>1</v>
      </c>
      <c r="U33" t="n">
        <v>0</v>
      </c>
      <c r="V33" s="2" t="inlineStr">
        <is>
          <t>Gul dropplav</t>
        </is>
      </c>
      <c r="W33">
        <f>HYPERLINK("https://klasma.github.io/Logging_0560/artfynd/A 29396-2023 artfynd.xlsx", "A 29396-2023")</f>
        <v/>
      </c>
      <c r="X33">
        <f>HYPERLINK("https://klasma.github.io/Logging_0560/kartor/A 29396-2023 karta.png", "A 29396-2023")</f>
        <v/>
      </c>
      <c r="Y33">
        <f>HYPERLINK("https://klasma.github.io/Logging_0560/kartor_geotiff/A 29396-2023 georefererad karta.tif", "A 29396-2023")</f>
        <v/>
      </c>
      <c r="AA33">
        <f>HYPERLINK("https://klasma.github.io/Logging_0560/klagomål/A 29396-2023 FSC-klagomål.docx", "A 29396-2023")</f>
        <v/>
      </c>
      <c r="AB33">
        <f>HYPERLINK("https://klasma.github.io/Logging_0560/klagomålsmail/A 29396-2023 FSC-klagomål mail.docx", "A 29396-2023")</f>
        <v/>
      </c>
      <c r="AC33">
        <f>HYPERLINK("https://klasma.github.io/Logging_0560/tillsyn/A 29396-2023 tillsynsbegäran.docx", "A 29396-2023")</f>
        <v/>
      </c>
      <c r="AD33">
        <f>HYPERLINK("https://klasma.github.io/Logging_0560/tillsynsmail/A 29396-2023 tillsynsbegäran mail.docx", "A 29396-2023")</f>
        <v/>
      </c>
    </row>
    <row r="34" ht="15" customHeight="1">
      <c r="A34" t="inlineStr">
        <is>
          <t>A 31675-2023</t>
        </is>
      </c>
      <c r="B34" t="inlineStr">
        <is>
          <t>avverkningsanmälan</t>
        </is>
      </c>
      <c r="C34" t="inlineStr">
        <is>
          <t>Avverkning för annat ändamål</t>
        </is>
      </c>
      <c r="D34" s="1" t="n">
        <v>45117</v>
      </c>
      <c r="E34" s="1" t="n">
        <v>46324</v>
      </c>
      <c r="F34" t="inlineStr">
        <is>
          <t>ÖSTERGÖTLANDS LÄN</t>
        </is>
      </c>
      <c r="G34" t="inlineStr">
        <is>
          <t>BOXHOLM</t>
        </is>
      </c>
      <c r="H34" t="inlineStr">
        <is>
          <t>Övriga Aktiebolag</t>
        </is>
      </c>
      <c r="I34" t="n">
        <v>2</v>
      </c>
      <c r="J34" t="n">
        <v>0</v>
      </c>
      <c r="K34" t="n">
        <v>0</v>
      </c>
      <c r="L34" t="n">
        <v>1</v>
      </c>
      <c r="M34" t="n">
        <v>0</v>
      </c>
      <c r="N34" t="n">
        <v>0</v>
      </c>
      <c r="O34" t="n">
        <v>0</v>
      </c>
      <c r="P34" t="n">
        <v>0</v>
      </c>
      <c r="Q34" t="n">
        <v>1</v>
      </c>
      <c r="R34" t="n">
        <v>0</v>
      </c>
      <c r="S34" t="n">
        <v>1</v>
      </c>
      <c r="T34" t="n">
        <v>1</v>
      </c>
      <c r="U34" t="n">
        <v>1</v>
      </c>
      <c r="V34" s="2" t="inlineStr">
        <is>
          <t>Backklöver</t>
        </is>
      </c>
      <c r="W34">
        <f>HYPERLINK("https://klasma.github.io/Logging_0560/artfynd/A 31675-2023 artfynd.xlsx", "A 31675-2023")</f>
        <v/>
      </c>
      <c r="X34">
        <f>HYPERLINK("https://klasma.github.io/Logging_0560/kartor/A 31675-2023 karta.png", "A 31675-2023")</f>
        <v/>
      </c>
      <c r="Y34">
        <f>HYPERLINK("https://klasma.github.io/Logging_0560/kartor_geotiff/A 31675-2023 georefererad karta.tif", "A 31675-2023")</f>
        <v/>
      </c>
      <c r="AA34">
        <f>HYPERLINK("https://klasma.github.io/Logging_0560/klagomål/A 31675-2023 FSC-klagomål.docx", "A 31675-2023")</f>
        <v/>
      </c>
      <c r="AB34">
        <f>HYPERLINK("https://klasma.github.io/Logging_0560/klagomålsmail/A 31675-2023 FSC-klagomål mail.docx", "A 31675-2023")</f>
        <v/>
      </c>
      <c r="AC34">
        <f>HYPERLINK("https://klasma.github.io/Logging_0560/tillsyn/A 31675-2023 tillsynsbegäran.docx", "A 31675-2023")</f>
        <v/>
      </c>
      <c r="AD34">
        <f>HYPERLINK("https://klasma.github.io/Logging_0560/tillsynsmail/A 31675-2023 tillsynsbegäran mail.docx", "A 31675-2023")</f>
        <v/>
      </c>
    </row>
    <row r="35" ht="15" customHeight="1">
      <c r="A35" t="inlineStr">
        <is>
          <t>A 10733-2024</t>
        </is>
      </c>
      <c r="B35" t="inlineStr">
        <is>
          <t>avverkningsanmälan</t>
        </is>
      </c>
      <c r="C35" t="inlineStr">
        <is>
          <t>Föryngringsavverkning</t>
        </is>
      </c>
      <c r="D35" s="1" t="n">
        <v>45369</v>
      </c>
      <c r="E35" s="1" t="n">
        <v>46324</v>
      </c>
      <c r="F35" t="inlineStr">
        <is>
          <t>ÖSTERGÖTLANDS LÄN</t>
        </is>
      </c>
      <c r="G35" t="inlineStr">
        <is>
          <t>BOXHOLM</t>
        </is>
      </c>
      <c r="I35" t="n">
        <v>1.8</v>
      </c>
      <c r="J35" t="n">
        <v>1</v>
      </c>
      <c r="K35" t="n">
        <v>0</v>
      </c>
      <c r="L35" t="n">
        <v>0</v>
      </c>
      <c r="M35" t="n">
        <v>1</v>
      </c>
      <c r="N35" t="n">
        <v>0</v>
      </c>
      <c r="O35" t="n">
        <v>0</v>
      </c>
      <c r="P35" t="n">
        <v>0</v>
      </c>
      <c r="Q35" t="n">
        <v>1</v>
      </c>
      <c r="R35" t="n">
        <v>1</v>
      </c>
      <c r="S35" t="n">
        <v>1</v>
      </c>
      <c r="T35" t="n">
        <v>2</v>
      </c>
      <c r="U35" t="n">
        <v>0</v>
      </c>
      <c r="V35" s="2" t="inlineStr">
        <is>
          <t>Knärot</t>
        </is>
      </c>
      <c r="W35">
        <f>HYPERLINK("https://klasma.github.io/Logging_0560/artfynd/A 10733-2024 artfynd.xlsx", "A 10733-2024")</f>
        <v/>
      </c>
      <c r="X35">
        <f>HYPERLINK("https://klasma.github.io/Logging_0560/kartor/A 10733-2024 karta.png", "A 10733-2024")</f>
        <v/>
      </c>
      <c r="Y35">
        <f>HYPERLINK("https://klasma.github.io/Logging_0560/kartor_geotiff/A 10733-2024 georefererad karta.tif", "A 10733-2024")</f>
        <v/>
      </c>
      <c r="Z35">
        <f>HYPERLINK("https://klasma.github.io/Logging_0560/knärot/A 10733-2024 karta knärot.png", "A 10733-2024")</f>
        <v/>
      </c>
      <c r="AA35">
        <f>HYPERLINK("https://klasma.github.io/Logging_0560/klagomål/A 10733-2024 FSC-klagomål.docx", "A 10733-2024")</f>
        <v/>
      </c>
      <c r="AB35">
        <f>HYPERLINK("https://klasma.github.io/Logging_0560/klagomålsmail/A 10733-2024 FSC-klagomål mail.docx", "A 10733-2024")</f>
        <v/>
      </c>
      <c r="AC35">
        <f>HYPERLINK("https://klasma.github.io/Logging_0560/tillsyn/A 10733-2024 tillsynsbegäran.docx", "A 10733-2024")</f>
        <v/>
      </c>
      <c r="AD35">
        <f>HYPERLINK("https://klasma.github.io/Logging_0560/tillsynsmail/A 10733-2024 tillsynsbegäran mail.docx", "A 10733-2024")</f>
        <v/>
      </c>
    </row>
    <row r="36" ht="15" customHeight="1">
      <c r="A36" t="inlineStr">
        <is>
          <t>A 44823-2023</t>
        </is>
      </c>
      <c r="B36" t="inlineStr">
        <is>
          <t>avverkningsanmälan</t>
        </is>
      </c>
      <c r="C36" t="inlineStr">
        <is>
          <t>Föryngringsavverkning</t>
        </is>
      </c>
      <c r="D36" s="1" t="n">
        <v>45190</v>
      </c>
      <c r="E36" s="1" t="n">
        <v>46324</v>
      </c>
      <c r="F36" t="inlineStr">
        <is>
          <t>ÖSTERGÖTLANDS LÄN</t>
        </is>
      </c>
      <c r="G36" t="inlineStr">
        <is>
          <t>BOXHOLM</t>
        </is>
      </c>
      <c r="H36" t="inlineStr">
        <is>
          <t>Allmännings- och besparingsskogar</t>
        </is>
      </c>
      <c r="I36" t="n">
        <v>8.4</v>
      </c>
      <c r="J36" t="n">
        <v>0</v>
      </c>
      <c r="K36" t="n">
        <v>0</v>
      </c>
      <c r="L36" t="n">
        <v>1</v>
      </c>
      <c r="M36" t="n">
        <v>0</v>
      </c>
      <c r="N36" t="n">
        <v>0</v>
      </c>
      <c r="O36" t="n">
        <v>0</v>
      </c>
      <c r="P36" t="n">
        <v>0</v>
      </c>
      <c r="Q36" t="n">
        <v>1</v>
      </c>
      <c r="R36" t="n">
        <v>0</v>
      </c>
      <c r="S36" t="n">
        <v>1</v>
      </c>
      <c r="T36" t="n">
        <v>2</v>
      </c>
      <c r="U36" t="n">
        <v>0</v>
      </c>
      <c r="V36" s="2" t="inlineStr">
        <is>
          <t>Kalkkärrsgrynsnäcka</t>
        </is>
      </c>
      <c r="W36">
        <f>HYPERLINK("https://klasma.github.io/Logging_0560/artfynd/A 44823-2023 artfynd.xlsx", "A 44823-2023")</f>
        <v/>
      </c>
      <c r="X36">
        <f>HYPERLINK("https://klasma.github.io/Logging_0560/kartor/A 44823-2023 karta.png", "A 44823-2023")</f>
        <v/>
      </c>
      <c r="Y36">
        <f>HYPERLINK("https://klasma.github.io/Logging_0560/kartor_geotiff/A 44823-2023 georefererad karta.tif", "A 44823-2023")</f>
        <v/>
      </c>
      <c r="AA36">
        <f>HYPERLINK("https://klasma.github.io/Logging_0560/klagomål/A 44823-2023 FSC-klagomål.docx", "A 44823-2023")</f>
        <v/>
      </c>
      <c r="AB36">
        <f>HYPERLINK("https://klasma.github.io/Logging_0560/klagomålsmail/A 44823-2023 FSC-klagomål mail.docx", "A 44823-2023")</f>
        <v/>
      </c>
      <c r="AC36">
        <f>HYPERLINK("https://klasma.github.io/Logging_0560/tillsyn/A 44823-2023 tillsynsbegäran.docx", "A 44823-2023")</f>
        <v/>
      </c>
      <c r="AD36">
        <f>HYPERLINK("https://klasma.github.io/Logging_0560/tillsynsmail/A 44823-2023 tillsynsbegäran mail.docx", "A 44823-2023")</f>
        <v/>
      </c>
    </row>
    <row r="37" ht="15" customHeight="1">
      <c r="A37" t="inlineStr">
        <is>
          <t>A 43578-2025</t>
        </is>
      </c>
      <c r="B37" t="inlineStr">
        <is>
          <t>avverkningsanmälan</t>
        </is>
      </c>
      <c r="C37" t="inlineStr">
        <is>
          <t>Föryngringsavverkning</t>
        </is>
      </c>
      <c r="D37" s="1" t="n">
        <v>45911</v>
      </c>
      <c r="E37" s="1" t="n">
        <v>46324</v>
      </c>
      <c r="F37" t="inlineStr">
        <is>
          <t>ÖSTERGÖTLANDS LÄN</t>
        </is>
      </c>
      <c r="G37" t="inlineStr">
        <is>
          <t>BOXHOLM</t>
        </is>
      </c>
      <c r="I37" t="n">
        <v>3</v>
      </c>
      <c r="J37" t="n">
        <v>0</v>
      </c>
      <c r="K37" t="n">
        <v>0</v>
      </c>
      <c r="L37" t="n">
        <v>1</v>
      </c>
      <c r="M37" t="n">
        <v>0</v>
      </c>
      <c r="N37" t="n">
        <v>0</v>
      </c>
      <c r="O37" t="n">
        <v>0</v>
      </c>
      <c r="P37" t="n">
        <v>0</v>
      </c>
      <c r="Q37" t="n">
        <v>1</v>
      </c>
      <c r="R37" t="n">
        <v>0</v>
      </c>
      <c r="S37" t="n">
        <v>1</v>
      </c>
      <c r="T37" t="n">
        <v>1</v>
      </c>
      <c r="U37" t="n">
        <v>0</v>
      </c>
      <c r="V37" s="2" t="inlineStr">
        <is>
          <t>Grynig filtlav</t>
        </is>
      </c>
      <c r="W37">
        <f>HYPERLINK("https://klasma.github.io/Logging_0560/artfynd/A 43578-2025 artfynd.xlsx", "A 43578-2025")</f>
        <v/>
      </c>
      <c r="X37">
        <f>HYPERLINK("https://klasma.github.io/Logging_0560/kartor/A 43578-2025 karta.png", "A 43578-2025")</f>
        <v/>
      </c>
      <c r="Y37">
        <f>HYPERLINK("https://klasma.github.io/Logging_0560/kartor_geotiff/A 43578-2025 georefererad karta.tif", "A 43578-2025")</f>
        <v/>
      </c>
      <c r="AA37">
        <f>HYPERLINK("https://klasma.github.io/Logging_0560/klagomål/A 43578-2025 FSC-klagomål.docx", "A 43578-2025")</f>
        <v/>
      </c>
      <c r="AB37">
        <f>HYPERLINK("https://klasma.github.io/Logging_0560/klagomålsmail/A 43578-2025 FSC-klagomål mail.docx", "A 43578-2025")</f>
        <v/>
      </c>
      <c r="AC37">
        <f>HYPERLINK("https://klasma.github.io/Logging_0560/tillsyn/A 43578-2025 tillsynsbegäran.docx", "A 43578-2025")</f>
        <v/>
      </c>
      <c r="AD37">
        <f>HYPERLINK("https://klasma.github.io/Logging_0560/tillsynsmail/A 43578-2025 tillsynsbegäran mail.docx", "A 43578-2025")</f>
        <v/>
      </c>
    </row>
    <row r="38" ht="15" customHeight="1">
      <c r="A38" t="inlineStr">
        <is>
          <t>A 2669-2022</t>
        </is>
      </c>
      <c r="B38" t="inlineStr">
        <is>
          <t>avverkningsanmälan</t>
        </is>
      </c>
      <c r="C38" t="inlineStr">
        <is>
          <t>Föryngringsavverkning</t>
        </is>
      </c>
      <c r="D38" s="1" t="n">
        <v>44580</v>
      </c>
      <c r="E38" s="1" t="n">
        <v>46324</v>
      </c>
      <c r="F38" t="inlineStr">
        <is>
          <t>ÖSTERGÖTLANDS LÄN</t>
        </is>
      </c>
      <c r="G38" t="inlineStr">
        <is>
          <t>BOXHOLM</t>
        </is>
      </c>
      <c r="I38" t="n">
        <v>2.3</v>
      </c>
      <c r="J38" t="n">
        <v>0</v>
      </c>
      <c r="K38" t="n">
        <v>0</v>
      </c>
      <c r="L38" t="n">
        <v>1</v>
      </c>
      <c r="M38" t="n">
        <v>0</v>
      </c>
      <c r="N38" t="n">
        <v>0</v>
      </c>
      <c r="O38" t="n">
        <v>0</v>
      </c>
      <c r="P38" t="n">
        <v>0</v>
      </c>
      <c r="Q38" t="n">
        <v>1</v>
      </c>
      <c r="R38" t="n">
        <v>0</v>
      </c>
      <c r="S38" t="n">
        <v>1</v>
      </c>
      <c r="T38" t="n">
        <v>2</v>
      </c>
      <c r="U38" t="n">
        <v>2</v>
      </c>
      <c r="V38" s="2" t="inlineStr">
        <is>
          <t>Sommarfibbla</t>
        </is>
      </c>
      <c r="W38">
        <f>HYPERLINK("https://klasma.github.io/Logging_0560/artfynd/A 2669-2022 artfynd.xlsx", "A 2669-2022")</f>
        <v/>
      </c>
      <c r="X38">
        <f>HYPERLINK("https://klasma.github.io/Logging_0560/kartor/A 2669-2022 karta.png", "A 2669-2022")</f>
        <v/>
      </c>
      <c r="Y38">
        <f>HYPERLINK("https://klasma.github.io/Logging_0560/kartor_geotiff/A 2669-2022 georefererad karta.tif", "A 2669-2022")</f>
        <v/>
      </c>
      <c r="AA38">
        <f>HYPERLINK("https://klasma.github.io/Logging_0560/klagomål/A 2669-2022 FSC-klagomål.docx", "A 2669-2022")</f>
        <v/>
      </c>
      <c r="AB38">
        <f>HYPERLINK("https://klasma.github.io/Logging_0560/klagomålsmail/A 2669-2022 FSC-klagomål mail.docx", "A 2669-2022")</f>
        <v/>
      </c>
      <c r="AC38">
        <f>HYPERLINK("https://klasma.github.io/Logging_0560/tillsyn/A 2669-2022 tillsynsbegäran.docx", "A 2669-2022")</f>
        <v/>
      </c>
      <c r="AD38">
        <f>HYPERLINK("https://klasma.github.io/Logging_0560/tillsynsmail/A 2669-2022 tillsynsbegäran mail.docx", "A 2669-2022")</f>
        <v/>
      </c>
    </row>
    <row r="39" ht="15" customHeight="1">
      <c r="A39" t="inlineStr">
        <is>
          <t>A 36475-2025</t>
        </is>
      </c>
      <c r="B39" t="inlineStr">
        <is>
          <t>avverkningsanmälan</t>
        </is>
      </c>
      <c r="C39" t="inlineStr">
        <is>
          <t>Föryngringsavverkning</t>
        </is>
      </c>
      <c r="D39" s="1" t="n">
        <v>45869</v>
      </c>
      <c r="E39" s="1" t="n">
        <v>46324</v>
      </c>
      <c r="F39" t="inlineStr">
        <is>
          <t>ÖSTERGÖTLANDS LÄN</t>
        </is>
      </c>
      <c r="G39" t="inlineStr">
        <is>
          <t>BOXHOLM</t>
        </is>
      </c>
      <c r="H39" t="inlineStr">
        <is>
          <t>Övriga Aktiebolag</t>
        </is>
      </c>
      <c r="I39" t="n">
        <v>2.1</v>
      </c>
      <c r="J39" t="n">
        <v>0</v>
      </c>
      <c r="K39" t="n">
        <v>1</v>
      </c>
      <c r="L39" t="n">
        <v>0</v>
      </c>
      <c r="M39" t="n">
        <v>0</v>
      </c>
      <c r="N39" t="n">
        <v>0</v>
      </c>
      <c r="O39" t="n">
        <v>0</v>
      </c>
      <c r="P39" t="n">
        <v>0</v>
      </c>
      <c r="Q39" t="n">
        <v>0</v>
      </c>
      <c r="R39" t="n">
        <v>0</v>
      </c>
      <c r="S39" t="n">
        <v>1</v>
      </c>
      <c r="T39" t="n">
        <v>2</v>
      </c>
      <c r="U39" t="n">
        <v>0</v>
      </c>
      <c r="V39" s="2" t="inlineStr">
        <is>
          <t>Tibast</t>
        </is>
      </c>
      <c r="W39">
        <f>HYPERLINK("https://klasma.github.io/Logging_0560/artfynd/A 36475-2025 artfynd.xlsx", "A 36475-2025")</f>
        <v/>
      </c>
      <c r="X39">
        <f>HYPERLINK("https://klasma.github.io/Logging_0560/kartor/A 36475-2025 karta.png", "A 36475-2025")</f>
        <v/>
      </c>
      <c r="Y39">
        <f>HYPERLINK("https://klasma.github.io/Logging_0560/kartor_geotiff/A 36475-2025 georefererad karta.tif", "A 36475-2025")</f>
        <v/>
      </c>
      <c r="AA39">
        <f>HYPERLINK("https://klasma.github.io/Logging_0560/klagomål/A 36475-2025 FSC-klagomål.docx", "A 36475-2025")</f>
        <v/>
      </c>
      <c r="AB39">
        <f>HYPERLINK("https://klasma.github.io/Logging_0560/klagomålsmail/A 36475-2025 FSC-klagomål mail.docx", "A 36475-2025")</f>
        <v/>
      </c>
      <c r="AC39">
        <f>HYPERLINK("https://klasma.github.io/Logging_0560/tillsyn/A 36475-2025 tillsynsbegäran.docx", "A 36475-2025")</f>
        <v/>
      </c>
      <c r="AD39">
        <f>HYPERLINK("https://klasma.github.io/Logging_0560/tillsynsmail/A 36475-2025 tillsynsbegäran mail.docx", "A 36475-2025")</f>
        <v/>
      </c>
    </row>
    <row r="40" ht="15" customHeight="1">
      <c r="A40" t="inlineStr">
        <is>
          <t>A 53616-2024</t>
        </is>
      </c>
      <c r="B40" t="inlineStr">
        <is>
          <t>avverkningsanmälan</t>
        </is>
      </c>
      <c r="C40" t="inlineStr">
        <is>
          <t>Föryngringsavverkning</t>
        </is>
      </c>
      <c r="D40" s="1" t="n">
        <v>45614</v>
      </c>
      <c r="E40" s="1" t="n">
        <v>46324</v>
      </c>
      <c r="F40" t="inlineStr">
        <is>
          <t>ÖSTERGÖTLANDS LÄN</t>
        </is>
      </c>
      <c r="G40" t="inlineStr">
        <is>
          <t>BOXHOLM</t>
        </is>
      </c>
      <c r="I40" t="n">
        <v>2.3</v>
      </c>
      <c r="J40" t="n">
        <v>0</v>
      </c>
      <c r="K40" t="n">
        <v>0</v>
      </c>
      <c r="L40" t="n">
        <v>1</v>
      </c>
      <c r="M40" t="n">
        <v>0</v>
      </c>
      <c r="N40" t="n">
        <v>0</v>
      </c>
      <c r="O40" t="n">
        <v>0</v>
      </c>
      <c r="P40" t="n">
        <v>0</v>
      </c>
      <c r="Q40" t="n">
        <v>1</v>
      </c>
      <c r="R40" t="n">
        <v>0</v>
      </c>
      <c r="S40" t="n">
        <v>1</v>
      </c>
      <c r="T40" t="n">
        <v>1</v>
      </c>
      <c r="U40" t="n">
        <v>0</v>
      </c>
      <c r="V40" s="2" t="inlineStr">
        <is>
          <t>Sommarfibbla</t>
        </is>
      </c>
      <c r="W40">
        <f>HYPERLINK("https://klasma.github.io/Logging_0560/artfynd/A 53616-2024 artfynd.xlsx", "A 53616-2024")</f>
        <v/>
      </c>
      <c r="X40">
        <f>HYPERLINK("https://klasma.github.io/Logging_0560/kartor/A 53616-2024 karta.png", "A 53616-2024")</f>
        <v/>
      </c>
      <c r="Y40">
        <f>HYPERLINK("https://klasma.github.io/Logging_0560/kartor_geotiff/A 53616-2024 georefererad karta.tif", "A 53616-2024")</f>
        <v/>
      </c>
      <c r="AA40">
        <f>HYPERLINK("https://klasma.github.io/Logging_0560/klagomål/A 53616-2024 FSC-klagomål.docx", "A 53616-2024")</f>
        <v/>
      </c>
      <c r="AB40">
        <f>HYPERLINK("https://klasma.github.io/Logging_0560/klagomålsmail/A 53616-2024 FSC-klagomål mail.docx", "A 53616-2024")</f>
        <v/>
      </c>
      <c r="AC40">
        <f>HYPERLINK("https://klasma.github.io/Logging_0560/tillsyn/A 53616-2024 tillsynsbegäran.docx", "A 53616-2024")</f>
        <v/>
      </c>
      <c r="AD40">
        <f>HYPERLINK("https://klasma.github.io/Logging_0560/tillsynsmail/A 53616-2024 tillsynsbegäran mail.docx", "A 53616-2024")</f>
        <v/>
      </c>
    </row>
    <row r="41" ht="15" customHeight="1">
      <c r="A41" t="inlineStr">
        <is>
          <t>A 64028-2025</t>
        </is>
      </c>
      <c r="B41" t="inlineStr">
        <is>
          <t>avverkningsanmälan</t>
        </is>
      </c>
      <c r="C41" t="inlineStr">
        <is>
          <t>Föryngringsavverkning</t>
        </is>
      </c>
      <c r="D41" s="1" t="n">
        <v>46021</v>
      </c>
      <c r="E41" s="1" t="n">
        <v>46324</v>
      </c>
      <c r="F41" t="inlineStr">
        <is>
          <t>ÖSTERGÖTLANDS LÄN</t>
        </is>
      </c>
      <c r="G41" t="inlineStr">
        <is>
          <t>BOXHOLM</t>
        </is>
      </c>
      <c r="H41" t="inlineStr">
        <is>
          <t>Allmännings- och besparingsskogar</t>
        </is>
      </c>
      <c r="I41" t="n">
        <v>2.6</v>
      </c>
      <c r="J41" t="n">
        <v>1</v>
      </c>
      <c r="K41" t="n">
        <v>0</v>
      </c>
      <c r="L41" t="n">
        <v>0</v>
      </c>
      <c r="M41" t="n">
        <v>0</v>
      </c>
      <c r="N41" t="n">
        <v>0</v>
      </c>
      <c r="O41" t="n">
        <v>0</v>
      </c>
      <c r="P41" t="n">
        <v>0</v>
      </c>
      <c r="Q41" t="n">
        <v>0</v>
      </c>
      <c r="R41" t="n">
        <v>0</v>
      </c>
      <c r="S41" t="n">
        <v>1</v>
      </c>
      <c r="T41" t="n">
        <v>1</v>
      </c>
      <c r="U41" t="n">
        <v>0</v>
      </c>
      <c r="V41" s="2" t="inlineStr">
        <is>
          <t>Blåsippa</t>
        </is>
      </c>
      <c r="W41">
        <f>HYPERLINK("https://klasma.github.io/Logging_0560/artfynd/A 64028-2025 artfynd.xlsx", "A 64028-2025")</f>
        <v/>
      </c>
      <c r="X41">
        <f>HYPERLINK("https://klasma.github.io/Logging_0560/kartor/A 64028-2025 karta.png", "A 64028-2025")</f>
        <v/>
      </c>
      <c r="Y41">
        <f>HYPERLINK("https://klasma.github.io/Logging_0560/kartor_geotiff/A 64028-2025 georefererad karta.tif", "A 64028-2025")</f>
        <v/>
      </c>
      <c r="AA41">
        <f>HYPERLINK("https://klasma.github.io/Logging_0560/klagomål/A 64028-2025 FSC-klagomål.docx", "A 64028-2025")</f>
        <v/>
      </c>
      <c r="AB41">
        <f>HYPERLINK("https://klasma.github.io/Logging_0560/klagomålsmail/A 64028-2025 FSC-klagomål mail.docx", "A 64028-2025")</f>
        <v/>
      </c>
      <c r="AC41">
        <f>HYPERLINK("https://klasma.github.io/Logging_0560/tillsyn/A 64028-2025 tillsynsbegäran.docx", "A 64028-2025")</f>
        <v/>
      </c>
      <c r="AD41">
        <f>HYPERLINK("https://klasma.github.io/Logging_0560/tillsynsmail/A 64028-2025 tillsynsbegäran mail.docx", "A 64028-2025")</f>
        <v/>
      </c>
    </row>
    <row r="42" ht="15" customHeight="1">
      <c r="A42" t="inlineStr">
        <is>
          <t>A 28407-2026</t>
        </is>
      </c>
      <c r="B42" t="inlineStr">
        <is>
          <t>avverkningsanmälan</t>
        </is>
      </c>
      <c r="C42" t="inlineStr">
        <is>
          <t>Föryngringsavverkning</t>
        </is>
      </c>
      <c r="D42" s="1" t="n">
        <v>46197</v>
      </c>
      <c r="E42" s="1" t="n">
        <v>46324</v>
      </c>
      <c r="F42" t="inlineStr">
        <is>
          <t>ÖSTERGÖTLANDS LÄN</t>
        </is>
      </c>
      <c r="G42" t="inlineStr">
        <is>
          <t>BOXHOLM</t>
        </is>
      </c>
      <c r="H42" t="inlineStr">
        <is>
          <t>Kyrkan</t>
        </is>
      </c>
      <c r="I42" t="n">
        <v>2.9</v>
      </c>
      <c r="J42" t="n">
        <v>0</v>
      </c>
      <c r="K42" t="n">
        <v>0</v>
      </c>
      <c r="L42" t="n">
        <v>1</v>
      </c>
      <c r="M42" t="n">
        <v>0</v>
      </c>
      <c r="N42" t="n">
        <v>0</v>
      </c>
      <c r="O42" t="n">
        <v>0</v>
      </c>
      <c r="P42" t="n">
        <v>0</v>
      </c>
      <c r="Q42" t="n">
        <v>1</v>
      </c>
      <c r="R42" t="n">
        <v>0</v>
      </c>
      <c r="S42" t="n">
        <v>1</v>
      </c>
      <c r="T42" t="n">
        <v>1</v>
      </c>
      <c r="U42" t="n">
        <v>0</v>
      </c>
      <c r="V42" s="2" t="inlineStr">
        <is>
          <t>Gullklöver</t>
        </is>
      </c>
      <c r="W42">
        <f>HYPERLINK("https://klasma.github.io/Logging_0560/artfynd/A 28407-2026 artfynd.xlsx", "A 28407-2026")</f>
        <v/>
      </c>
      <c r="X42">
        <f>HYPERLINK("https://klasma.github.io/Logging_0560/kartor/A 28407-2026 karta.png", "A 28407-2026")</f>
        <v/>
      </c>
      <c r="Y42">
        <f>HYPERLINK("https://klasma.github.io/Logging_0560/kartor_geotiff/A 28407-2026 georefererad karta.tif", "A 28407-2026")</f>
        <v/>
      </c>
      <c r="AA42">
        <f>HYPERLINK("https://klasma.github.io/Logging_0560/klagomål/A 28407-2026 FSC-klagomål.docx", "A 28407-2026")</f>
        <v/>
      </c>
      <c r="AB42">
        <f>HYPERLINK("https://klasma.github.io/Logging_0560/klagomålsmail/A 28407-2026 FSC-klagomål mail.docx", "A 28407-2026")</f>
        <v/>
      </c>
      <c r="AC42">
        <f>HYPERLINK("https://klasma.github.io/Logging_0560/tillsyn/A 28407-2026 tillsynsbegäran.docx", "A 28407-2026")</f>
        <v/>
      </c>
      <c r="AD42">
        <f>HYPERLINK("https://klasma.github.io/Logging_0560/tillsynsmail/A 28407-2026 tillsynsbegäran mail.docx", "A 28407-2026")</f>
        <v/>
      </c>
    </row>
    <row r="43" ht="15" customHeight="1">
      <c r="A43" t="inlineStr">
        <is>
          <t>A 38866-2026</t>
        </is>
      </c>
      <c r="B43" t="inlineStr">
        <is>
          <t>avverkningsanmälan</t>
        </is>
      </c>
      <c r="C43" t="inlineStr">
        <is>
          <t>Föryngringsavverkning</t>
        </is>
      </c>
      <c r="D43" s="1" t="n">
        <v>46286</v>
      </c>
      <c r="E43" s="1" t="n">
        <v>46324</v>
      </c>
      <c r="F43" t="inlineStr">
        <is>
          <t>ÖSTERGÖTLANDS LÄN</t>
        </is>
      </c>
      <c r="G43" t="inlineStr">
        <is>
          <t>BOXHOLM</t>
        </is>
      </c>
      <c r="H43" t="inlineStr">
        <is>
          <t>Övriga Aktiebolag</t>
        </is>
      </c>
      <c r="I43" t="n">
        <v>3.9</v>
      </c>
      <c r="J43" t="n">
        <v>0</v>
      </c>
      <c r="K43" t="n">
        <v>0</v>
      </c>
      <c r="L43" t="n">
        <v>1</v>
      </c>
      <c r="M43" t="n">
        <v>0</v>
      </c>
      <c r="N43" t="n">
        <v>0</v>
      </c>
      <c r="O43" t="n">
        <v>0</v>
      </c>
      <c r="P43" t="n">
        <v>0</v>
      </c>
      <c r="Q43" t="n">
        <v>1</v>
      </c>
      <c r="R43" t="n">
        <v>0</v>
      </c>
      <c r="S43" t="n">
        <v>1</v>
      </c>
      <c r="T43" t="n">
        <v>1</v>
      </c>
      <c r="U43" t="n">
        <v>0</v>
      </c>
      <c r="V43" s="2" t="inlineStr">
        <is>
          <t>Kandelabersvamp</t>
        </is>
      </c>
      <c r="W43">
        <f>HYPERLINK("https://klasma.github.io/Logging_0560/artfynd/A 38866-2026 artfynd.xlsx", "A 38866-2026")</f>
        <v/>
      </c>
      <c r="X43">
        <f>HYPERLINK("https://klasma.github.io/Logging_0560/kartor/A 38866-2026 karta.png", "A 38866-2026")</f>
        <v/>
      </c>
      <c r="Y43">
        <f>HYPERLINK("https://klasma.github.io/Logging_0560/kartor_geotiff/A 38866-2026 georefererad karta.tif", "A 38866-2026")</f>
        <v/>
      </c>
      <c r="AA43">
        <f>HYPERLINK("https://klasma.github.io/Logging_0560/klagomål/A 38866-2026 FSC-klagomål.docx", "A 38866-2026")</f>
        <v/>
      </c>
      <c r="AB43">
        <f>HYPERLINK("https://klasma.github.io/Logging_0560/klagomålsmail/A 38866-2026 FSC-klagomål mail.docx", "A 38866-2026")</f>
        <v/>
      </c>
      <c r="AC43">
        <f>HYPERLINK("https://klasma.github.io/Logging_0560/tillsyn/A 38866-2026 tillsynsbegäran.docx", "A 38866-2026")</f>
        <v/>
      </c>
      <c r="AD43">
        <f>HYPERLINK("https://klasma.github.io/Logging_0560/tillsynsmail/A 38866-2026 tillsynsbegäran mail.docx", "A 38866-2026")</f>
        <v/>
      </c>
    </row>
    <row r="44" ht="15" customHeight="1">
      <c r="A44" t="inlineStr">
        <is>
          <t>A 5001-2022</t>
        </is>
      </c>
      <c r="B44" t="inlineStr">
        <is>
          <t>avverkningsanmälan</t>
        </is>
      </c>
      <c r="C44" t="inlineStr">
        <is>
          <t>Föryngringsavverkning</t>
        </is>
      </c>
      <c r="D44" s="1" t="n">
        <v>44593</v>
      </c>
      <c r="E44" s="1" t="n">
        <v>46324</v>
      </c>
      <c r="F44" t="inlineStr">
        <is>
          <t>ÖSTERGÖTLANDS LÄN</t>
        </is>
      </c>
      <c r="G44" t="inlineStr">
        <is>
          <t>BOXHOLM</t>
        </is>
      </c>
      <c r="H44" t="inlineStr">
        <is>
          <t>Övriga Aktiebolag</t>
        </is>
      </c>
      <c r="I44" t="n">
        <v>7.9</v>
      </c>
      <c r="J44" t="n">
        <v>0</v>
      </c>
      <c r="K44" t="n">
        <v>0</v>
      </c>
      <c r="L44" t="n">
        <v>1</v>
      </c>
      <c r="M44" t="n">
        <v>0</v>
      </c>
      <c r="N44" t="n">
        <v>0</v>
      </c>
      <c r="O44" t="n">
        <v>0</v>
      </c>
      <c r="P44" t="n">
        <v>0</v>
      </c>
      <c r="Q44" t="n">
        <v>1</v>
      </c>
      <c r="R44" t="n">
        <v>0</v>
      </c>
      <c r="S44" t="n">
        <v>1</v>
      </c>
      <c r="T44" t="n">
        <v>1</v>
      </c>
      <c r="U44" t="n">
        <v>0</v>
      </c>
      <c r="V44" s="2" t="inlineStr">
        <is>
          <t>Carphacis striatus</t>
        </is>
      </c>
      <c r="W44">
        <f>HYPERLINK("https://klasma.github.io/Logging_0560/artfynd/A 5001-2022 artfynd.xlsx", "A 5001-2022")</f>
        <v/>
      </c>
      <c r="X44">
        <f>HYPERLINK("https://klasma.github.io/Logging_0560/kartor/A 5001-2022 karta.png", "A 5001-2022")</f>
        <v/>
      </c>
      <c r="Y44">
        <f>HYPERLINK("https://klasma.github.io/Logging_0560/kartor_geotiff/A 5001-2022 georefererad karta.tif", "A 5001-2022")</f>
        <v/>
      </c>
      <c r="AA44">
        <f>HYPERLINK("https://klasma.github.io/Logging_0560/klagomål/A 5001-2022 FSC-klagomål.docx", "A 5001-2022")</f>
        <v/>
      </c>
      <c r="AB44">
        <f>HYPERLINK("https://klasma.github.io/Logging_0560/klagomålsmail/A 5001-2022 FSC-klagomål mail.docx", "A 5001-2022")</f>
        <v/>
      </c>
      <c r="AC44">
        <f>HYPERLINK("https://klasma.github.io/Logging_0560/tillsyn/A 5001-2022 tillsynsbegäran.docx", "A 5001-2022")</f>
        <v/>
      </c>
      <c r="AD44">
        <f>HYPERLINK("https://klasma.github.io/Logging_0560/tillsynsmail/A 5001-2022 tillsynsbegäran mail.docx", "A 5001-2022")</f>
        <v/>
      </c>
    </row>
    <row r="45" ht="15" customHeight="1">
      <c r="A45" t="inlineStr">
        <is>
          <t>A 42291-2026</t>
        </is>
      </c>
      <c r="B45" t="inlineStr">
        <is>
          <t>avverkningsanmälan</t>
        </is>
      </c>
      <c r="C45" t="inlineStr">
        <is>
          <t>Föryngringsavverkning</t>
        </is>
      </c>
      <c r="D45" s="1" t="n">
        <v>46307</v>
      </c>
      <c r="E45" s="1" t="n">
        <v>46324</v>
      </c>
      <c r="F45" t="inlineStr">
        <is>
          <t>ÖSTERGÖTLANDS LÄN</t>
        </is>
      </c>
      <c r="G45" t="inlineStr">
        <is>
          <t>BOXHOLM</t>
        </is>
      </c>
      <c r="H45" t="inlineStr">
        <is>
          <t>Övriga Aktiebolag</t>
        </is>
      </c>
      <c r="I45" t="n">
        <v>1.3</v>
      </c>
      <c r="J45" t="n">
        <v>0</v>
      </c>
      <c r="K45" t="n">
        <v>0</v>
      </c>
      <c r="L45" t="n">
        <v>1</v>
      </c>
      <c r="M45" t="n">
        <v>0</v>
      </c>
      <c r="N45" t="n">
        <v>0</v>
      </c>
      <c r="O45" t="n">
        <v>0</v>
      </c>
      <c r="P45" t="n">
        <v>0</v>
      </c>
      <c r="Q45" t="n">
        <v>1</v>
      </c>
      <c r="R45" t="n">
        <v>0</v>
      </c>
      <c r="S45" t="n">
        <v>1</v>
      </c>
      <c r="T45" t="n">
        <v>1</v>
      </c>
      <c r="U45" t="n">
        <v>0</v>
      </c>
      <c r="V45" s="2" t="inlineStr">
        <is>
          <t>Svinrot</t>
        </is>
      </c>
      <c r="W45">
        <f>HYPERLINK("https://klasma.github.io/Logging_0560/artfynd/A 42291-2026 artfynd.xlsx", "A 42291-2026")</f>
        <v/>
      </c>
      <c r="X45">
        <f>HYPERLINK("https://klasma.github.io/Logging_0560/kartor/A 42291-2026 karta.png", "A 42291-2026")</f>
        <v/>
      </c>
      <c r="Y45">
        <f>HYPERLINK("https://klasma.github.io/Logging_0560/kartor_geotiff/A 42291-2026 georefererad karta.tif", "A 42291-2026")</f>
        <v/>
      </c>
      <c r="AA45">
        <f>HYPERLINK("https://klasma.github.io/Logging_0560/klagomål/A 42291-2026 FSC-klagomål.docx", "A 42291-2026")</f>
        <v/>
      </c>
      <c r="AB45">
        <f>HYPERLINK("https://klasma.github.io/Logging_0560/klagomålsmail/A 42291-2026 FSC-klagomål mail.docx", "A 42291-2026")</f>
        <v/>
      </c>
      <c r="AC45">
        <f>HYPERLINK("https://klasma.github.io/Logging_0560/tillsyn/A 42291-2026 tillsynsbegäran.docx", "A 42291-2026")</f>
        <v/>
      </c>
      <c r="AD45">
        <f>HYPERLINK("https://klasma.github.io/Logging_0560/tillsynsmail/A 42291-2026 tillsynsbegäran mail.docx", "A 42291-2026")</f>
        <v/>
      </c>
    </row>
    <row r="46" ht="15" customHeight="1">
      <c r="A46" t="inlineStr">
        <is>
          <t>A 16755-2022</t>
        </is>
      </c>
      <c r="B46" t="inlineStr">
        <is>
          <t>avverkningsanmälan</t>
        </is>
      </c>
      <c r="C46" t="inlineStr">
        <is>
          <t>Föryngringsavverkning</t>
        </is>
      </c>
      <c r="D46" s="1" t="n">
        <v>44673</v>
      </c>
      <c r="E46" s="1" t="n">
        <v>46324</v>
      </c>
      <c r="F46" t="inlineStr">
        <is>
          <t>ÖSTERGÖTLANDS LÄN</t>
        </is>
      </c>
      <c r="G46" t="inlineStr">
        <is>
          <t>BOXHOLM</t>
        </is>
      </c>
      <c r="I46" t="n">
        <v>0.5</v>
      </c>
      <c r="J46" t="n">
        <v>0</v>
      </c>
      <c r="K46" t="n">
        <v>0</v>
      </c>
      <c r="L46" t="n">
        <v>1</v>
      </c>
      <c r="M46" t="n">
        <v>0</v>
      </c>
      <c r="N46" t="n">
        <v>0</v>
      </c>
      <c r="O46" t="n">
        <v>0</v>
      </c>
      <c r="P46" t="n">
        <v>0</v>
      </c>
      <c r="Q46" t="n">
        <v>1</v>
      </c>
      <c r="R46" t="n">
        <v>0</v>
      </c>
      <c r="S46" t="n">
        <v>1</v>
      </c>
      <c r="T46" t="n">
        <v>1</v>
      </c>
      <c r="U46" t="n">
        <v>1</v>
      </c>
      <c r="V46" s="2" t="inlineStr">
        <is>
          <t>Sommarfibbla</t>
        </is>
      </c>
      <c r="W46">
        <f>HYPERLINK("https://klasma.github.io/Logging_0560/artfynd/A 16755-2022 artfynd.xlsx", "A 16755-2022")</f>
        <v/>
      </c>
      <c r="X46">
        <f>HYPERLINK("https://klasma.github.io/Logging_0560/kartor/A 16755-2022 karta.png", "A 16755-2022")</f>
        <v/>
      </c>
      <c r="Y46">
        <f>HYPERLINK("https://klasma.github.io/Logging_0560/kartor_geotiff/A 16755-2022 georefererad karta.tif", "A 16755-2022")</f>
        <v/>
      </c>
      <c r="AA46">
        <f>HYPERLINK("https://klasma.github.io/Logging_0560/klagomål/A 16755-2022 FSC-klagomål.docx", "A 16755-2022")</f>
        <v/>
      </c>
      <c r="AB46">
        <f>HYPERLINK("https://klasma.github.io/Logging_0560/klagomålsmail/A 16755-2022 FSC-klagomål mail.docx", "A 16755-2022")</f>
        <v/>
      </c>
      <c r="AC46">
        <f>HYPERLINK("https://klasma.github.io/Logging_0560/tillsyn/A 16755-2022 tillsynsbegäran.docx", "A 16755-2022")</f>
        <v/>
      </c>
      <c r="AD46">
        <f>HYPERLINK("https://klasma.github.io/Logging_0560/tillsynsmail/A 16755-2022 tillsynsbegäran mail.docx", "A 16755-2022")</f>
        <v/>
      </c>
    </row>
    <row r="47" ht="15" customHeight="1">
      <c r="A47" t="inlineStr">
        <is>
          <t>A 52847-2024</t>
        </is>
      </c>
      <c r="B47" t="inlineStr">
        <is>
          <t>avverkningsanmälan</t>
        </is>
      </c>
      <c r="C47" t="inlineStr">
        <is>
          <t>Föryngringsavverkning</t>
        </is>
      </c>
      <c r="D47" s="1" t="n">
        <v>45610</v>
      </c>
      <c r="E47" s="1" t="n">
        <v>46324</v>
      </c>
      <c r="F47" t="inlineStr">
        <is>
          <t>ÖSTERGÖTLANDS LÄN</t>
        </is>
      </c>
      <c r="G47" t="inlineStr">
        <is>
          <t>BOXHOLM</t>
        </is>
      </c>
      <c r="I47" t="n">
        <v>1.2</v>
      </c>
      <c r="J47" t="n">
        <v>0</v>
      </c>
      <c r="K47" t="n">
        <v>0</v>
      </c>
      <c r="L47" t="n">
        <v>1</v>
      </c>
      <c r="M47" t="n">
        <v>0</v>
      </c>
      <c r="N47" t="n">
        <v>0</v>
      </c>
      <c r="O47" t="n">
        <v>0</v>
      </c>
      <c r="P47" t="n">
        <v>0</v>
      </c>
      <c r="Q47" t="n">
        <v>1</v>
      </c>
      <c r="R47" t="n">
        <v>0</v>
      </c>
      <c r="S47" t="n">
        <v>1</v>
      </c>
      <c r="T47" t="n">
        <v>1</v>
      </c>
      <c r="U47" t="n">
        <v>0</v>
      </c>
      <c r="V47" s="2" t="inlineStr">
        <is>
          <t>Vårstarr</t>
        </is>
      </c>
      <c r="W47">
        <f>HYPERLINK("https://klasma.github.io/Logging_0560/artfynd/A 52847-2024 artfynd.xlsx", "A 52847-2024")</f>
        <v/>
      </c>
      <c r="X47">
        <f>HYPERLINK("https://klasma.github.io/Logging_0560/kartor/A 52847-2024 karta.png", "A 52847-2024")</f>
        <v/>
      </c>
      <c r="Y47">
        <f>HYPERLINK("https://klasma.github.io/Logging_0560/kartor_geotiff/A 52847-2024 georefererad karta.tif", "A 52847-2024")</f>
        <v/>
      </c>
      <c r="AA47">
        <f>HYPERLINK("https://klasma.github.io/Logging_0560/klagomål/A 52847-2024 FSC-klagomål.docx", "A 52847-2024")</f>
        <v/>
      </c>
      <c r="AB47">
        <f>HYPERLINK("https://klasma.github.io/Logging_0560/klagomålsmail/A 52847-2024 FSC-klagomål mail.docx", "A 52847-2024")</f>
        <v/>
      </c>
      <c r="AC47">
        <f>HYPERLINK("https://klasma.github.io/Logging_0560/tillsyn/A 52847-2024 tillsynsbegäran.docx", "A 52847-2024")</f>
        <v/>
      </c>
      <c r="AD47">
        <f>HYPERLINK("https://klasma.github.io/Logging_0560/tillsynsmail/A 52847-2024 tillsynsbegäran mail.docx", "A 52847-2024")</f>
        <v/>
      </c>
    </row>
    <row r="48" ht="15" customHeight="1">
      <c r="A48" t="inlineStr">
        <is>
          <t>S 486-2025</t>
        </is>
      </c>
      <c r="B48" t="inlineStr">
        <is>
          <t>samrådsanmälan</t>
        </is>
      </c>
      <c r="C48" t="inlineStr">
        <is>
          <t>Askåterföring</t>
        </is>
      </c>
      <c r="D48" s="1" t="n">
        <v>45705</v>
      </c>
      <c r="E48" s="1" t="n">
        <v>46324</v>
      </c>
      <c r="F48" t="inlineStr">
        <is>
          <t>ÖSTERGÖTLANDS LÄN</t>
        </is>
      </c>
      <c r="G48" t="inlineStr">
        <is>
          <t>BOXHOLM</t>
        </is>
      </c>
      <c r="H48" t="inlineStr">
        <is>
          <t>Övriga Aktiebolag</t>
        </is>
      </c>
      <c r="I48" t="n">
        <v>547.6</v>
      </c>
      <c r="J48" t="n">
        <v>0</v>
      </c>
      <c r="K48" t="n">
        <v>0</v>
      </c>
      <c r="L48" t="n">
        <v>1</v>
      </c>
      <c r="M48" t="n">
        <v>0</v>
      </c>
      <c r="N48" t="n">
        <v>0</v>
      </c>
      <c r="O48" t="n">
        <v>0</v>
      </c>
      <c r="P48" t="n">
        <v>0</v>
      </c>
      <c r="Q48" t="n">
        <v>1</v>
      </c>
      <c r="R48" t="n">
        <v>0</v>
      </c>
      <c r="S48" t="n">
        <v>1</v>
      </c>
      <c r="T48" t="n">
        <v>1</v>
      </c>
      <c r="U48" t="n">
        <v>0</v>
      </c>
      <c r="V48" s="2" t="inlineStr">
        <is>
          <t>Etternässla</t>
        </is>
      </c>
      <c r="W48">
        <f>HYPERLINK("https://klasma.github.io/Logging_0560/artfynd/S 486-2025 artfynd.xlsx", "S 486-2025")</f>
        <v/>
      </c>
      <c r="X48">
        <f>HYPERLINK("https://klasma.github.io/Logging_0560/kartor/S 486-2025 karta.png", "S 486-2025")</f>
        <v/>
      </c>
      <c r="Y48">
        <f>HYPERLINK("https://klasma.github.io/Logging_0560/kartor_geotiff/S 486-2025 georefererad karta.tif", "S 486-2025")</f>
        <v/>
      </c>
      <c r="AA48">
        <f>HYPERLINK("https://klasma.github.io/Logging_0560/klagomål/S 486-2025 FSC-klagomål.docx", "S 486-2025")</f>
        <v/>
      </c>
      <c r="AB48">
        <f>HYPERLINK("https://klasma.github.io/Logging_0560/klagomålsmail/S 486-2025 FSC-klagomål mail.docx", "S 486-2025")</f>
        <v/>
      </c>
      <c r="AC48">
        <f>HYPERLINK("https://klasma.github.io/Logging_0560/tillsyn/S 486-2025 tillsynsbegäran.docx", "S 486-2025")</f>
        <v/>
      </c>
      <c r="AD48">
        <f>HYPERLINK("https://klasma.github.io/Logging_0560/tillsynsmail/S 486-2025 tillsynsbegäran mail.docx", "S 486-2025")</f>
        <v/>
      </c>
    </row>
    <row r="49" ht="15" customHeight="1">
      <c r="A49" t="inlineStr">
        <is>
          <t>S 2567-2026</t>
        </is>
      </c>
      <c r="B49" t="inlineStr">
        <is>
          <t>samrådsanmälan</t>
        </is>
      </c>
      <c r="C49" t="inlineStr">
        <is>
          <t>Annan skogsbruksåtgärd</t>
        </is>
      </c>
      <c r="D49" s="1" t="n">
        <v>46296</v>
      </c>
      <c r="E49" s="1" t="n">
        <v>46324</v>
      </c>
      <c r="F49" t="inlineStr">
        <is>
          <t>ÖSTERGÖTLANDS LÄN</t>
        </is>
      </c>
      <c r="G49" t="inlineStr">
        <is>
          <t>BOXHOLM</t>
        </is>
      </c>
      <c r="H49" t="inlineStr">
        <is>
          <t>Övriga Aktiebolag</t>
        </is>
      </c>
      <c r="I49" t="n">
        <v>1.5</v>
      </c>
      <c r="J49" t="n">
        <v>1</v>
      </c>
      <c r="K49" t="n">
        <v>0</v>
      </c>
      <c r="L49" t="n">
        <v>0</v>
      </c>
      <c r="M49" t="n">
        <v>0</v>
      </c>
      <c r="N49" t="n">
        <v>0</v>
      </c>
      <c r="O49" t="n">
        <v>0</v>
      </c>
      <c r="P49" t="n">
        <v>0</v>
      </c>
      <c r="Q49" t="n">
        <v>0</v>
      </c>
      <c r="R49" t="n">
        <v>0</v>
      </c>
      <c r="S49" t="n">
        <v>1</v>
      </c>
      <c r="T49" t="n">
        <v>1</v>
      </c>
      <c r="U49" t="n">
        <v>0</v>
      </c>
      <c r="V49" s="2" t="inlineStr">
        <is>
          <t>Blåsippa</t>
        </is>
      </c>
      <c r="W49">
        <f>HYPERLINK("https://klasma.github.io/Logging_0560/artfynd/S 2567-2026 artfynd.xlsx", "S 2567-2026")</f>
        <v/>
      </c>
      <c r="X49">
        <f>HYPERLINK("https://klasma.github.io/Logging_0560/kartor/S 2567-2026 karta.png", "S 2567-2026")</f>
        <v/>
      </c>
      <c r="Y49">
        <f>HYPERLINK("https://klasma.github.io/Logging_0560/kartor_geotiff/S 2567-2026 georefererad karta.tif", "S 2567-2026")</f>
        <v/>
      </c>
      <c r="AA49">
        <f>HYPERLINK("https://klasma.github.io/Logging_0560/klagomål/S 2567-2026 FSC-klagomål.docx", "S 2567-2026")</f>
        <v/>
      </c>
      <c r="AB49">
        <f>HYPERLINK("https://klasma.github.io/Logging_0560/klagomålsmail/S 2567-2026 FSC-klagomål mail.docx", "S 2567-2026")</f>
        <v/>
      </c>
      <c r="AC49">
        <f>HYPERLINK("https://klasma.github.io/Logging_0560/tillsyn/S 2567-2026 tillsynsbegäran.docx", "S 2567-2026")</f>
        <v/>
      </c>
      <c r="AD49">
        <f>HYPERLINK("https://klasma.github.io/Logging_0560/tillsynsmail/S 2567-2026 tillsynsbegäran mail.docx", "S 2567-2026")</f>
        <v/>
      </c>
    </row>
    <row r="50" ht="15" customHeight="1">
      <c r="A50" t="inlineStr">
        <is>
          <t>A 52197-2022</t>
        </is>
      </c>
      <c r="B50" t="inlineStr">
        <is>
          <t>avverkningsanmälan</t>
        </is>
      </c>
      <c r="C50" t="inlineStr">
        <is>
          <t>Föryngringsavverkning</t>
        </is>
      </c>
      <c r="D50" s="1" t="n">
        <v>44873</v>
      </c>
      <c r="E50" s="1" t="n">
        <v>46324</v>
      </c>
      <c r="F50" t="inlineStr">
        <is>
          <t>ÖSTERGÖTLANDS LÄN</t>
        </is>
      </c>
      <c r="G50" t="inlineStr">
        <is>
          <t>BOXHOLM</t>
        </is>
      </c>
      <c r="H50" t="inlineStr">
        <is>
          <t>Övriga Aktiebolag</t>
        </is>
      </c>
      <c r="I50" t="n">
        <v>3.6</v>
      </c>
      <c r="J50" t="n">
        <v>0</v>
      </c>
      <c r="K50" t="n">
        <v>0</v>
      </c>
      <c r="L50" t="n">
        <v>0</v>
      </c>
      <c r="M50" t="n">
        <v>0</v>
      </c>
      <c r="N50" t="n">
        <v>0</v>
      </c>
      <c r="O50" t="n">
        <v>0</v>
      </c>
      <c r="P50" t="n">
        <v>0</v>
      </c>
      <c r="Q50" t="n">
        <v>0</v>
      </c>
      <c r="R50" t="n">
        <v>0</v>
      </c>
      <c r="S50" t="n">
        <v>0</v>
      </c>
      <c r="T50" t="n">
        <v>0</v>
      </c>
      <c r="U50" t="n">
        <v>0</v>
      </c>
      <c r="V50" s="2" t="inlineStr"/>
    </row>
    <row r="51" ht="15" customHeight="1">
      <c r="A51" t="inlineStr">
        <is>
          <t>A 63202-2021</t>
        </is>
      </c>
      <c r="B51" t="inlineStr">
        <is>
          <t>avverkningsanmälan</t>
        </is>
      </c>
      <c r="C51" t="inlineStr">
        <is>
          <t>Föryngringsavverkning</t>
        </is>
      </c>
      <c r="D51" s="1" t="n">
        <v>44507</v>
      </c>
      <c r="E51" s="1" t="n">
        <v>46324</v>
      </c>
      <c r="F51" t="inlineStr">
        <is>
          <t>ÖSTERGÖTLANDS LÄN</t>
        </is>
      </c>
      <c r="G51" t="inlineStr">
        <is>
          <t>BOXHOLM</t>
        </is>
      </c>
      <c r="I51" t="n">
        <v>1.6</v>
      </c>
      <c r="J51" t="n">
        <v>0</v>
      </c>
      <c r="K51" t="n">
        <v>0</v>
      </c>
      <c r="L51" t="n">
        <v>0</v>
      </c>
      <c r="M51" t="n">
        <v>0</v>
      </c>
      <c r="N51" t="n">
        <v>0</v>
      </c>
      <c r="O51" t="n">
        <v>0</v>
      </c>
      <c r="P51" t="n">
        <v>0</v>
      </c>
      <c r="Q51" t="n">
        <v>0</v>
      </c>
      <c r="R51" t="n">
        <v>0</v>
      </c>
      <c r="S51" t="n">
        <v>0</v>
      </c>
      <c r="T51" t="n">
        <v>0</v>
      </c>
      <c r="U51" t="n">
        <v>0</v>
      </c>
      <c r="V51" s="2" t="inlineStr"/>
    </row>
    <row r="52" ht="15" customHeight="1">
      <c r="A52" t="inlineStr">
        <is>
          <t>A 55182-2022</t>
        </is>
      </c>
      <c r="B52" t="inlineStr">
        <is>
          <t>avverkningsanmälan</t>
        </is>
      </c>
      <c r="C52" t="inlineStr">
        <is>
          <t>Föryngringsavverkning</t>
        </is>
      </c>
      <c r="D52" s="1" t="n">
        <v>44886</v>
      </c>
      <c r="E52" s="1" t="n">
        <v>46324</v>
      </c>
      <c r="F52" t="inlineStr">
        <is>
          <t>ÖSTERGÖTLANDS LÄN</t>
        </is>
      </c>
      <c r="G52" t="inlineStr">
        <is>
          <t>BOXHOLM</t>
        </is>
      </c>
      <c r="I52" t="n">
        <v>0.4</v>
      </c>
      <c r="J52" t="n">
        <v>0</v>
      </c>
      <c r="K52" t="n">
        <v>0</v>
      </c>
      <c r="L52" t="n">
        <v>0</v>
      </c>
      <c r="M52" t="n">
        <v>0</v>
      </c>
      <c r="N52" t="n">
        <v>0</v>
      </c>
      <c r="O52" t="n">
        <v>0</v>
      </c>
      <c r="P52" t="n">
        <v>0</v>
      </c>
      <c r="Q52" t="n">
        <v>0</v>
      </c>
      <c r="R52" t="n">
        <v>0</v>
      </c>
      <c r="S52" t="n">
        <v>0</v>
      </c>
      <c r="T52" t="n">
        <v>0</v>
      </c>
      <c r="U52" t="n">
        <v>0</v>
      </c>
      <c r="V52" s="2" t="inlineStr"/>
    </row>
    <row r="53" ht="15" customHeight="1">
      <c r="A53" t="inlineStr">
        <is>
          <t>A 44898-2022</t>
        </is>
      </c>
      <c r="B53" t="inlineStr">
        <is>
          <t>avverkningsanmälan</t>
        </is>
      </c>
      <c r="C53" t="inlineStr">
        <is>
          <t>Föryngringsavverkning</t>
        </is>
      </c>
      <c r="D53" s="1" t="n">
        <v>44841</v>
      </c>
      <c r="E53" s="1" t="n">
        <v>46324</v>
      </c>
      <c r="F53" t="inlineStr">
        <is>
          <t>ÖSTERGÖTLANDS LÄN</t>
        </is>
      </c>
      <c r="G53" t="inlineStr">
        <is>
          <t>BOXHOLM</t>
        </is>
      </c>
      <c r="I53" t="n">
        <v>0.8</v>
      </c>
      <c r="J53" t="n">
        <v>0</v>
      </c>
      <c r="K53" t="n">
        <v>0</v>
      </c>
      <c r="L53" t="n">
        <v>0</v>
      </c>
      <c r="M53" t="n">
        <v>0</v>
      </c>
      <c r="N53" t="n">
        <v>0</v>
      </c>
      <c r="O53" t="n">
        <v>0</v>
      </c>
      <c r="P53" t="n">
        <v>0</v>
      </c>
      <c r="Q53" t="n">
        <v>0</v>
      </c>
      <c r="R53" t="n">
        <v>0</v>
      </c>
      <c r="S53" t="n">
        <v>0</v>
      </c>
      <c r="T53" t="n">
        <v>0</v>
      </c>
      <c r="U53" t="n">
        <v>0</v>
      </c>
      <c r="V53" s="2" t="inlineStr"/>
    </row>
    <row r="54" ht="15" customHeight="1">
      <c r="A54" t="inlineStr">
        <is>
          <t>A 16753-2022</t>
        </is>
      </c>
      <c r="B54" t="inlineStr">
        <is>
          <t>avverkningsanmälan</t>
        </is>
      </c>
      <c r="C54" t="inlineStr">
        <is>
          <t>Föryngringsavverkning</t>
        </is>
      </c>
      <c r="D54" s="1" t="n">
        <v>44673</v>
      </c>
      <c r="E54" s="1" t="n">
        <v>46324</v>
      </c>
      <c r="F54" t="inlineStr">
        <is>
          <t>ÖSTERGÖTLANDS LÄN</t>
        </is>
      </c>
      <c r="G54" t="inlineStr">
        <is>
          <t>BOXHOLM</t>
        </is>
      </c>
      <c r="I54" t="n">
        <v>0.5</v>
      </c>
      <c r="J54" t="n">
        <v>0</v>
      </c>
      <c r="K54" t="n">
        <v>0</v>
      </c>
      <c r="L54" t="n">
        <v>0</v>
      </c>
      <c r="M54" t="n">
        <v>0</v>
      </c>
      <c r="N54" t="n">
        <v>0</v>
      </c>
      <c r="O54" t="n">
        <v>0</v>
      </c>
      <c r="P54" t="n">
        <v>0</v>
      </c>
      <c r="Q54" t="n">
        <v>0</v>
      </c>
      <c r="R54" t="n">
        <v>0</v>
      </c>
      <c r="S54" t="n">
        <v>0</v>
      </c>
      <c r="T54" t="n">
        <v>0</v>
      </c>
      <c r="U54" t="n">
        <v>0</v>
      </c>
      <c r="V54" s="2" t="inlineStr"/>
    </row>
    <row r="55" ht="15" customHeight="1">
      <c r="A55" t="inlineStr">
        <is>
          <t>A 22043-2022</t>
        </is>
      </c>
      <c r="B55" t="inlineStr">
        <is>
          <t>avverkningsanmälan</t>
        </is>
      </c>
      <c r="C55" t="inlineStr">
        <is>
          <t>Föryngringsavverkning</t>
        </is>
      </c>
      <c r="D55" s="1" t="n">
        <v>44711</v>
      </c>
      <c r="E55" s="1" t="n">
        <v>46324</v>
      </c>
      <c r="F55" t="inlineStr">
        <is>
          <t>ÖSTERGÖTLANDS LÄN</t>
        </is>
      </c>
      <c r="G55" t="inlineStr">
        <is>
          <t>BOXHOLM</t>
        </is>
      </c>
      <c r="H55" t="inlineStr">
        <is>
          <t>Övriga Aktiebolag</t>
        </is>
      </c>
      <c r="I55" t="n">
        <v>1.3</v>
      </c>
      <c r="J55" t="n">
        <v>0</v>
      </c>
      <c r="K55" t="n">
        <v>0</v>
      </c>
      <c r="L55" t="n">
        <v>0</v>
      </c>
      <c r="M55" t="n">
        <v>0</v>
      </c>
      <c r="N55" t="n">
        <v>0</v>
      </c>
      <c r="O55" t="n">
        <v>0</v>
      </c>
      <c r="P55" t="n">
        <v>0</v>
      </c>
      <c r="Q55" t="n">
        <v>0</v>
      </c>
      <c r="R55" t="n">
        <v>0</v>
      </c>
      <c r="S55" t="n">
        <v>0</v>
      </c>
      <c r="T55" t="n">
        <v>0</v>
      </c>
      <c r="U55" t="n">
        <v>0</v>
      </c>
      <c r="V55" s="2" t="inlineStr"/>
    </row>
    <row r="56" ht="15" customHeight="1">
      <c r="A56" t="inlineStr">
        <is>
          <t>A 67372-2021</t>
        </is>
      </c>
      <c r="B56" t="inlineStr">
        <is>
          <t>avverkningsanmälan</t>
        </is>
      </c>
      <c r="C56" t="inlineStr">
        <is>
          <t>Föryngringsavverkning</t>
        </is>
      </c>
      <c r="D56" s="1" t="n">
        <v>44523</v>
      </c>
      <c r="E56" s="1" t="n">
        <v>46324</v>
      </c>
      <c r="F56" t="inlineStr">
        <is>
          <t>ÖSTERGÖTLANDS LÄN</t>
        </is>
      </c>
      <c r="G56" t="inlineStr">
        <is>
          <t>BOXHOLM</t>
        </is>
      </c>
      <c r="I56" t="n">
        <v>1.3</v>
      </c>
      <c r="J56" t="n">
        <v>0</v>
      </c>
      <c r="K56" t="n">
        <v>0</v>
      </c>
      <c r="L56" t="n">
        <v>0</v>
      </c>
      <c r="M56" t="n">
        <v>0</v>
      </c>
      <c r="N56" t="n">
        <v>0</v>
      </c>
      <c r="O56" t="n">
        <v>0</v>
      </c>
      <c r="P56" t="n">
        <v>0</v>
      </c>
      <c r="Q56" t="n">
        <v>0</v>
      </c>
      <c r="R56" t="n">
        <v>0</v>
      </c>
      <c r="S56" t="n">
        <v>0</v>
      </c>
      <c r="T56" t="n">
        <v>0</v>
      </c>
      <c r="U56" t="n">
        <v>0</v>
      </c>
      <c r="V56" s="2" t="inlineStr"/>
    </row>
    <row r="57" ht="15" customHeight="1">
      <c r="A57" t="inlineStr">
        <is>
          <t>A 50455-2022</t>
        </is>
      </c>
      <c r="B57" t="inlineStr">
        <is>
          <t>avverkningsanmälan</t>
        </is>
      </c>
      <c r="C57" t="inlineStr">
        <is>
          <t>Föryngringsavverkning</t>
        </is>
      </c>
      <c r="D57" s="1" t="n">
        <v>44866</v>
      </c>
      <c r="E57" s="1" t="n">
        <v>46324</v>
      </c>
      <c r="F57" t="inlineStr">
        <is>
          <t>ÖSTERGÖTLANDS LÄN</t>
        </is>
      </c>
      <c r="G57" t="inlineStr">
        <is>
          <t>BOXHOLM</t>
        </is>
      </c>
      <c r="H57" t="inlineStr">
        <is>
          <t>Övriga Aktiebolag</t>
        </is>
      </c>
      <c r="I57" t="n">
        <v>0.5</v>
      </c>
      <c r="J57" t="n">
        <v>0</v>
      </c>
      <c r="K57" t="n">
        <v>0</v>
      </c>
      <c r="L57" t="n">
        <v>0</v>
      </c>
      <c r="M57" t="n">
        <v>0</v>
      </c>
      <c r="N57" t="n">
        <v>0</v>
      </c>
      <c r="O57" t="n">
        <v>0</v>
      </c>
      <c r="P57" t="n">
        <v>0</v>
      </c>
      <c r="Q57" t="n">
        <v>0</v>
      </c>
      <c r="R57" t="n">
        <v>0</v>
      </c>
      <c r="S57" t="n">
        <v>0</v>
      </c>
      <c r="T57" t="n">
        <v>0</v>
      </c>
      <c r="U57" t="n">
        <v>0</v>
      </c>
      <c r="V57" s="2" t="inlineStr"/>
    </row>
    <row r="58" ht="15" customHeight="1">
      <c r="A58" t="inlineStr">
        <is>
          <t>A 43219-2022</t>
        </is>
      </c>
      <c r="B58" t="inlineStr">
        <is>
          <t>avverkningsanmälan</t>
        </is>
      </c>
      <c r="C58" t="inlineStr">
        <is>
          <t>Föryngringsavverkning</t>
        </is>
      </c>
      <c r="D58" s="1" t="n">
        <v>44834</v>
      </c>
      <c r="E58" s="1" t="n">
        <v>46324</v>
      </c>
      <c r="F58" t="inlineStr">
        <is>
          <t>ÖSTERGÖTLANDS LÄN</t>
        </is>
      </c>
      <c r="G58" t="inlineStr">
        <is>
          <t>BOXHOLM</t>
        </is>
      </c>
      <c r="I58" t="n">
        <v>0.6</v>
      </c>
      <c r="J58" t="n">
        <v>0</v>
      </c>
      <c r="K58" t="n">
        <v>0</v>
      </c>
      <c r="L58" t="n">
        <v>0</v>
      </c>
      <c r="M58" t="n">
        <v>0</v>
      </c>
      <c r="N58" t="n">
        <v>0</v>
      </c>
      <c r="O58" t="n">
        <v>0</v>
      </c>
      <c r="P58" t="n">
        <v>0</v>
      </c>
      <c r="Q58" t="n">
        <v>0</v>
      </c>
      <c r="R58" t="n">
        <v>0</v>
      </c>
      <c r="S58" t="n">
        <v>0</v>
      </c>
      <c r="T58" t="n">
        <v>0</v>
      </c>
      <c r="U58" t="n">
        <v>0</v>
      </c>
      <c r="V58" s="2" t="inlineStr"/>
    </row>
    <row r="59" ht="15" customHeight="1">
      <c r="A59" t="inlineStr">
        <is>
          <t>A 16107-2022</t>
        </is>
      </c>
      <c r="B59" t="inlineStr">
        <is>
          <t>avverkningsanmälan</t>
        </is>
      </c>
      <c r="C59" t="inlineStr">
        <is>
          <t>Föryngringsavverkning</t>
        </is>
      </c>
      <c r="D59" s="1" t="n">
        <v>44665</v>
      </c>
      <c r="E59" s="1" t="n">
        <v>46324</v>
      </c>
      <c r="F59" t="inlineStr">
        <is>
          <t>ÖSTERGÖTLANDS LÄN</t>
        </is>
      </c>
      <c r="G59" t="inlineStr">
        <is>
          <t>BOXHOLM</t>
        </is>
      </c>
      <c r="H59" t="inlineStr">
        <is>
          <t>Övriga Aktiebolag</t>
        </is>
      </c>
      <c r="I59" t="n">
        <v>3.7</v>
      </c>
      <c r="J59" t="n">
        <v>0</v>
      </c>
      <c r="K59" t="n">
        <v>0</v>
      </c>
      <c r="L59" t="n">
        <v>0</v>
      </c>
      <c r="M59" t="n">
        <v>0</v>
      </c>
      <c r="N59" t="n">
        <v>0</v>
      </c>
      <c r="O59" t="n">
        <v>0</v>
      </c>
      <c r="P59" t="n">
        <v>0</v>
      </c>
      <c r="Q59" t="n">
        <v>0</v>
      </c>
      <c r="R59" t="n">
        <v>0</v>
      </c>
      <c r="S59" t="n">
        <v>0</v>
      </c>
      <c r="T59" t="n">
        <v>0</v>
      </c>
      <c r="U59" t="n">
        <v>0</v>
      </c>
      <c r="V59" s="2" t="inlineStr"/>
    </row>
    <row r="60" ht="15" customHeight="1">
      <c r="A60" t="inlineStr">
        <is>
          <t>A 42698-2022</t>
        </is>
      </c>
      <c r="B60" t="inlineStr">
        <is>
          <t>avverkningsanmälan</t>
        </is>
      </c>
      <c r="C60" t="inlineStr">
        <is>
          <t>Föryngringsavverkning</t>
        </is>
      </c>
      <c r="D60" s="1" t="n">
        <v>44832</v>
      </c>
      <c r="E60" s="1" t="n">
        <v>46324</v>
      </c>
      <c r="F60" t="inlineStr">
        <is>
          <t>ÖSTERGÖTLANDS LÄN</t>
        </is>
      </c>
      <c r="G60" t="inlineStr">
        <is>
          <t>BOXHOLM</t>
        </is>
      </c>
      <c r="H60" t="inlineStr">
        <is>
          <t>Övriga Aktiebolag</t>
        </is>
      </c>
      <c r="I60" t="n">
        <v>0.5</v>
      </c>
      <c r="J60" t="n">
        <v>0</v>
      </c>
      <c r="K60" t="n">
        <v>0</v>
      </c>
      <c r="L60" t="n">
        <v>0</v>
      </c>
      <c r="M60" t="n">
        <v>0</v>
      </c>
      <c r="N60" t="n">
        <v>0</v>
      </c>
      <c r="O60" t="n">
        <v>0</v>
      </c>
      <c r="P60" t="n">
        <v>0</v>
      </c>
      <c r="Q60" t="n">
        <v>0</v>
      </c>
      <c r="R60" t="n">
        <v>0</v>
      </c>
      <c r="S60" t="n">
        <v>0</v>
      </c>
      <c r="T60" t="n">
        <v>0</v>
      </c>
      <c r="U60" t="n">
        <v>0</v>
      </c>
      <c r="V60" s="2" t="inlineStr"/>
    </row>
    <row r="61" ht="15" customHeight="1">
      <c r="A61" t="inlineStr">
        <is>
          <t>A 28315-2022</t>
        </is>
      </c>
      <c r="B61" t="inlineStr">
        <is>
          <t>avverkningsanmälan</t>
        </is>
      </c>
      <c r="C61" t="inlineStr">
        <is>
          <t>Föryngringsavverkning</t>
        </is>
      </c>
      <c r="D61" s="1" t="n">
        <v>44747</v>
      </c>
      <c r="E61" s="1" t="n">
        <v>46324</v>
      </c>
      <c r="F61" t="inlineStr">
        <is>
          <t>ÖSTERGÖTLANDS LÄN</t>
        </is>
      </c>
      <c r="G61" t="inlineStr">
        <is>
          <t>BOXHOLM</t>
        </is>
      </c>
      <c r="H61" t="inlineStr">
        <is>
          <t>Övriga Aktiebolag</t>
        </is>
      </c>
      <c r="I61" t="n">
        <v>1.8</v>
      </c>
      <c r="J61" t="n">
        <v>0</v>
      </c>
      <c r="K61" t="n">
        <v>0</v>
      </c>
      <c r="L61" t="n">
        <v>0</v>
      </c>
      <c r="M61" t="n">
        <v>0</v>
      </c>
      <c r="N61" t="n">
        <v>0</v>
      </c>
      <c r="O61" t="n">
        <v>0</v>
      </c>
      <c r="P61" t="n">
        <v>0</v>
      </c>
      <c r="Q61" t="n">
        <v>0</v>
      </c>
      <c r="R61" t="n">
        <v>0</v>
      </c>
      <c r="S61" t="n">
        <v>0</v>
      </c>
      <c r="T61" t="n">
        <v>0</v>
      </c>
      <c r="U61" t="n">
        <v>0</v>
      </c>
      <c r="V61" s="2" t="inlineStr"/>
    </row>
    <row r="62" ht="15" customHeight="1">
      <c r="A62" t="inlineStr">
        <is>
          <t>A 16751-2022</t>
        </is>
      </c>
      <c r="B62" t="inlineStr">
        <is>
          <t>avverkningsanmälan</t>
        </is>
      </c>
      <c r="C62" t="inlineStr">
        <is>
          <t>Föryngringsavverkning</t>
        </is>
      </c>
      <c r="D62" s="1" t="n">
        <v>44673</v>
      </c>
      <c r="E62" s="1" t="n">
        <v>46324</v>
      </c>
      <c r="F62" t="inlineStr">
        <is>
          <t>ÖSTERGÖTLANDS LÄN</t>
        </is>
      </c>
      <c r="G62" t="inlineStr">
        <is>
          <t>BOXHOLM</t>
        </is>
      </c>
      <c r="I62" t="n">
        <v>2.5</v>
      </c>
      <c r="J62" t="n">
        <v>0</v>
      </c>
      <c r="K62" t="n">
        <v>0</v>
      </c>
      <c r="L62" t="n">
        <v>0</v>
      </c>
      <c r="M62" t="n">
        <v>0</v>
      </c>
      <c r="N62" t="n">
        <v>0</v>
      </c>
      <c r="O62" t="n">
        <v>0</v>
      </c>
      <c r="P62" t="n">
        <v>0</v>
      </c>
      <c r="Q62" t="n">
        <v>0</v>
      </c>
      <c r="R62" t="n">
        <v>0</v>
      </c>
      <c r="S62" t="n">
        <v>0</v>
      </c>
      <c r="T62" t="n">
        <v>0</v>
      </c>
      <c r="U62" t="n">
        <v>0</v>
      </c>
      <c r="V62" s="2" t="inlineStr"/>
    </row>
    <row r="63" ht="15" customHeight="1">
      <c r="A63" t="inlineStr">
        <is>
          <t>A 47144-2022</t>
        </is>
      </c>
      <c r="B63" t="inlineStr">
        <is>
          <t>avverkningsanmälan</t>
        </is>
      </c>
      <c r="C63" t="inlineStr">
        <is>
          <t>Föryngringsavverkning</t>
        </is>
      </c>
      <c r="D63" s="1" t="n">
        <v>44852</v>
      </c>
      <c r="E63" s="1" t="n">
        <v>46324</v>
      </c>
      <c r="F63" t="inlineStr">
        <is>
          <t>ÖSTERGÖTLANDS LÄN</t>
        </is>
      </c>
      <c r="G63" t="inlineStr">
        <is>
          <t>BOXHOLM</t>
        </is>
      </c>
      <c r="I63" t="n">
        <v>0.8</v>
      </c>
      <c r="J63" t="n">
        <v>0</v>
      </c>
      <c r="K63" t="n">
        <v>0</v>
      </c>
      <c r="L63" t="n">
        <v>0</v>
      </c>
      <c r="M63" t="n">
        <v>0</v>
      </c>
      <c r="N63" t="n">
        <v>0</v>
      </c>
      <c r="O63" t="n">
        <v>0</v>
      </c>
      <c r="P63" t="n">
        <v>0</v>
      </c>
      <c r="Q63" t="n">
        <v>0</v>
      </c>
      <c r="R63" t="n">
        <v>0</v>
      </c>
      <c r="S63" t="n">
        <v>0</v>
      </c>
      <c r="T63" t="n">
        <v>0</v>
      </c>
      <c r="U63" t="n">
        <v>0</v>
      </c>
      <c r="V63" s="2" t="inlineStr"/>
    </row>
    <row r="64" ht="15" customHeight="1">
      <c r="A64" t="inlineStr">
        <is>
          <t>A 42693-2022</t>
        </is>
      </c>
      <c r="B64" t="inlineStr">
        <is>
          <t>avverkningsanmälan</t>
        </is>
      </c>
      <c r="C64" t="inlineStr">
        <is>
          <t>Föryngringsavverkning</t>
        </is>
      </c>
      <c r="D64" s="1" t="n">
        <v>44832</v>
      </c>
      <c r="E64" s="1" t="n">
        <v>46324</v>
      </c>
      <c r="F64" t="inlineStr">
        <is>
          <t>ÖSTERGÖTLANDS LÄN</t>
        </is>
      </c>
      <c r="G64" t="inlineStr">
        <is>
          <t>BOXHOLM</t>
        </is>
      </c>
      <c r="H64" t="inlineStr">
        <is>
          <t>Övriga Aktiebolag</t>
        </is>
      </c>
      <c r="I64" t="n">
        <v>0.5</v>
      </c>
      <c r="J64" t="n">
        <v>0</v>
      </c>
      <c r="K64" t="n">
        <v>0</v>
      </c>
      <c r="L64" t="n">
        <v>0</v>
      </c>
      <c r="M64" t="n">
        <v>0</v>
      </c>
      <c r="N64" t="n">
        <v>0</v>
      </c>
      <c r="O64" t="n">
        <v>0</v>
      </c>
      <c r="P64" t="n">
        <v>0</v>
      </c>
      <c r="Q64" t="n">
        <v>0</v>
      </c>
      <c r="R64" t="n">
        <v>0</v>
      </c>
      <c r="S64" t="n">
        <v>0</v>
      </c>
      <c r="T64" t="n">
        <v>0</v>
      </c>
      <c r="U64" t="n">
        <v>0</v>
      </c>
      <c r="V64" s="2" t="inlineStr"/>
    </row>
    <row r="65" ht="15" customHeight="1">
      <c r="A65" t="inlineStr">
        <is>
          <t>A 42704-2022</t>
        </is>
      </c>
      <c r="B65" t="inlineStr">
        <is>
          <t>avverkningsanmälan</t>
        </is>
      </c>
      <c r="C65" t="inlineStr">
        <is>
          <t>Föryngringsavverkning</t>
        </is>
      </c>
      <c r="D65" s="1" t="n">
        <v>44832</v>
      </c>
      <c r="E65" s="1" t="n">
        <v>46324</v>
      </c>
      <c r="F65" t="inlineStr">
        <is>
          <t>ÖSTERGÖTLANDS LÄN</t>
        </is>
      </c>
      <c r="G65" t="inlineStr">
        <is>
          <t>BOXHOLM</t>
        </is>
      </c>
      <c r="H65" t="inlineStr">
        <is>
          <t>Övriga Aktiebolag</t>
        </is>
      </c>
      <c r="I65" t="n">
        <v>0.3</v>
      </c>
      <c r="J65" t="n">
        <v>0</v>
      </c>
      <c r="K65" t="n">
        <v>0</v>
      </c>
      <c r="L65" t="n">
        <v>0</v>
      </c>
      <c r="M65" t="n">
        <v>0</v>
      </c>
      <c r="N65" t="n">
        <v>0</v>
      </c>
      <c r="O65" t="n">
        <v>0</v>
      </c>
      <c r="P65" t="n">
        <v>0</v>
      </c>
      <c r="Q65" t="n">
        <v>0</v>
      </c>
      <c r="R65" t="n">
        <v>0</v>
      </c>
      <c r="S65" t="n">
        <v>0</v>
      </c>
      <c r="T65" t="n">
        <v>0</v>
      </c>
      <c r="U65" t="n">
        <v>0</v>
      </c>
      <c r="V65" s="2" t="inlineStr"/>
    </row>
    <row r="66" ht="15" customHeight="1">
      <c r="A66" t="inlineStr">
        <is>
          <t>A 71037-2021</t>
        </is>
      </c>
      <c r="B66" t="inlineStr">
        <is>
          <t>avverkningsanmälan</t>
        </is>
      </c>
      <c r="C66" t="inlineStr">
        <is>
          <t>Föryngringsavverkning</t>
        </is>
      </c>
      <c r="D66" s="1" t="n">
        <v>44537</v>
      </c>
      <c r="E66" s="1" t="n">
        <v>46324</v>
      </c>
      <c r="F66" t="inlineStr">
        <is>
          <t>ÖSTERGÖTLANDS LÄN</t>
        </is>
      </c>
      <c r="G66" t="inlineStr">
        <is>
          <t>BOXHOLM</t>
        </is>
      </c>
      <c r="I66" t="n">
        <v>1.2</v>
      </c>
      <c r="J66" t="n">
        <v>0</v>
      </c>
      <c r="K66" t="n">
        <v>0</v>
      </c>
      <c r="L66" t="n">
        <v>0</v>
      </c>
      <c r="M66" t="n">
        <v>0</v>
      </c>
      <c r="N66" t="n">
        <v>0</v>
      </c>
      <c r="O66" t="n">
        <v>0</v>
      </c>
      <c r="P66" t="n">
        <v>0</v>
      </c>
      <c r="Q66" t="n">
        <v>0</v>
      </c>
      <c r="R66" t="n">
        <v>0</v>
      </c>
      <c r="S66" t="n">
        <v>0</v>
      </c>
      <c r="T66" t="n">
        <v>0</v>
      </c>
      <c r="U66" t="n">
        <v>0</v>
      </c>
      <c r="V66" s="2" t="inlineStr"/>
    </row>
    <row r="67" ht="15" customHeight="1">
      <c r="A67" t="inlineStr">
        <is>
          <t>A 72285-2021</t>
        </is>
      </c>
      <c r="B67" t="inlineStr">
        <is>
          <t>avverkningsanmälan</t>
        </is>
      </c>
      <c r="C67" t="inlineStr">
        <is>
          <t>Föryngringsavverkning</t>
        </is>
      </c>
      <c r="D67" s="1" t="n">
        <v>44545</v>
      </c>
      <c r="E67" s="1" t="n">
        <v>46324</v>
      </c>
      <c r="F67" t="inlineStr">
        <is>
          <t>ÖSTERGÖTLANDS LÄN</t>
        </is>
      </c>
      <c r="G67" t="inlineStr">
        <is>
          <t>BOXHOLM</t>
        </is>
      </c>
      <c r="I67" t="n">
        <v>0.5</v>
      </c>
      <c r="J67" t="n">
        <v>0</v>
      </c>
      <c r="K67" t="n">
        <v>0</v>
      </c>
      <c r="L67" t="n">
        <v>0</v>
      </c>
      <c r="M67" t="n">
        <v>0</v>
      </c>
      <c r="N67" t="n">
        <v>0</v>
      </c>
      <c r="O67" t="n">
        <v>0</v>
      </c>
      <c r="P67" t="n">
        <v>0</v>
      </c>
      <c r="Q67" t="n">
        <v>0</v>
      </c>
      <c r="R67" t="n">
        <v>0</v>
      </c>
      <c r="S67" t="n">
        <v>0</v>
      </c>
      <c r="T67" t="n">
        <v>0</v>
      </c>
      <c r="U67" t="n">
        <v>0</v>
      </c>
      <c r="V67" s="2" t="inlineStr"/>
    </row>
    <row r="68" ht="15" customHeight="1">
      <c r="A68" t="inlineStr">
        <is>
          <t>A 71030-2021</t>
        </is>
      </c>
      <c r="B68" t="inlineStr">
        <is>
          <t>avverkningsanmälan</t>
        </is>
      </c>
      <c r="C68" t="inlineStr">
        <is>
          <t>Föryngringsavverkning</t>
        </is>
      </c>
      <c r="D68" s="1" t="n">
        <v>44538</v>
      </c>
      <c r="E68" s="1" t="n">
        <v>46324</v>
      </c>
      <c r="F68" t="inlineStr">
        <is>
          <t>ÖSTERGÖTLANDS LÄN</t>
        </is>
      </c>
      <c r="G68" t="inlineStr">
        <is>
          <t>BOXHOLM</t>
        </is>
      </c>
      <c r="I68" t="n">
        <v>1.2</v>
      </c>
      <c r="J68" t="n">
        <v>0</v>
      </c>
      <c r="K68" t="n">
        <v>0</v>
      </c>
      <c r="L68" t="n">
        <v>0</v>
      </c>
      <c r="M68" t="n">
        <v>0</v>
      </c>
      <c r="N68" t="n">
        <v>0</v>
      </c>
      <c r="O68" t="n">
        <v>0</v>
      </c>
      <c r="P68" t="n">
        <v>0</v>
      </c>
      <c r="Q68" t="n">
        <v>0</v>
      </c>
      <c r="R68" t="n">
        <v>0</v>
      </c>
      <c r="S68" t="n">
        <v>0</v>
      </c>
      <c r="T68" t="n">
        <v>0</v>
      </c>
      <c r="U68" t="n">
        <v>0</v>
      </c>
      <c r="V68" s="2" t="inlineStr"/>
    </row>
    <row r="69" ht="15" customHeight="1">
      <c r="A69" t="inlineStr">
        <is>
          <t>A 24847-2022</t>
        </is>
      </c>
      <c r="B69" t="inlineStr">
        <is>
          <t>avverkningsanmälan</t>
        </is>
      </c>
      <c r="C69" t="inlineStr">
        <is>
          <t>Föryngringsavverkning</t>
        </is>
      </c>
      <c r="D69" s="1" t="n">
        <v>44728</v>
      </c>
      <c r="E69" s="1" t="n">
        <v>46324</v>
      </c>
      <c r="F69" t="inlineStr">
        <is>
          <t>ÖSTERGÖTLANDS LÄN</t>
        </is>
      </c>
      <c r="G69" t="inlineStr">
        <is>
          <t>BOXHOLM</t>
        </is>
      </c>
      <c r="H69" t="inlineStr">
        <is>
          <t>Övriga Aktiebolag</t>
        </is>
      </c>
      <c r="I69" t="n">
        <v>0.7</v>
      </c>
      <c r="J69" t="n">
        <v>0</v>
      </c>
      <c r="K69" t="n">
        <v>0</v>
      </c>
      <c r="L69" t="n">
        <v>0</v>
      </c>
      <c r="M69" t="n">
        <v>0</v>
      </c>
      <c r="N69" t="n">
        <v>0</v>
      </c>
      <c r="O69" t="n">
        <v>0</v>
      </c>
      <c r="P69" t="n">
        <v>0</v>
      </c>
      <c r="Q69" t="n">
        <v>0</v>
      </c>
      <c r="R69" t="n">
        <v>0</v>
      </c>
      <c r="S69" t="n">
        <v>0</v>
      </c>
      <c r="T69" t="n">
        <v>0</v>
      </c>
      <c r="U69" t="n">
        <v>0</v>
      </c>
      <c r="V69" s="2" t="inlineStr"/>
    </row>
    <row r="70" ht="15" customHeight="1">
      <c r="A70" t="inlineStr">
        <is>
          <t>A 1925-2022</t>
        </is>
      </c>
      <c r="B70" t="inlineStr">
        <is>
          <t>avverkningsanmälan</t>
        </is>
      </c>
      <c r="C70" t="inlineStr">
        <is>
          <t>Föryngringsavverkning</t>
        </is>
      </c>
      <c r="D70" s="1" t="n">
        <v>44575</v>
      </c>
      <c r="E70" s="1" t="n">
        <v>46324</v>
      </c>
      <c r="F70" t="inlineStr">
        <is>
          <t>ÖSTERGÖTLANDS LÄN</t>
        </is>
      </c>
      <c r="G70" t="inlineStr">
        <is>
          <t>BOXHOLM</t>
        </is>
      </c>
      <c r="I70" t="n">
        <v>1.2</v>
      </c>
      <c r="J70" t="n">
        <v>0</v>
      </c>
      <c r="K70" t="n">
        <v>0</v>
      </c>
      <c r="L70" t="n">
        <v>0</v>
      </c>
      <c r="M70" t="n">
        <v>0</v>
      </c>
      <c r="N70" t="n">
        <v>0</v>
      </c>
      <c r="O70" t="n">
        <v>0</v>
      </c>
      <c r="P70" t="n">
        <v>0</v>
      </c>
      <c r="Q70" t="n">
        <v>0</v>
      </c>
      <c r="R70" t="n">
        <v>0</v>
      </c>
      <c r="S70" t="n">
        <v>0</v>
      </c>
      <c r="T70" t="n">
        <v>0</v>
      </c>
      <c r="U70" t="n">
        <v>0</v>
      </c>
      <c r="V70" s="2" t="inlineStr"/>
    </row>
    <row r="71" ht="15" customHeight="1">
      <c r="A71" t="inlineStr">
        <is>
          <t>A 67362-2021</t>
        </is>
      </c>
      <c r="B71" t="inlineStr">
        <is>
          <t>avverkningsanmälan</t>
        </is>
      </c>
      <c r="C71" t="inlineStr">
        <is>
          <t>Föryngringsavverkning</t>
        </is>
      </c>
      <c r="D71" s="1" t="n">
        <v>44523</v>
      </c>
      <c r="E71" s="1" t="n">
        <v>46324</v>
      </c>
      <c r="F71" t="inlineStr">
        <is>
          <t>ÖSTERGÖTLANDS LÄN</t>
        </is>
      </c>
      <c r="G71" t="inlineStr">
        <is>
          <t>BOXHOLM</t>
        </is>
      </c>
      <c r="I71" t="n">
        <v>1.4</v>
      </c>
      <c r="J71" t="n">
        <v>0</v>
      </c>
      <c r="K71" t="n">
        <v>0</v>
      </c>
      <c r="L71" t="n">
        <v>0</v>
      </c>
      <c r="M71" t="n">
        <v>0</v>
      </c>
      <c r="N71" t="n">
        <v>0</v>
      </c>
      <c r="O71" t="n">
        <v>0</v>
      </c>
      <c r="P71" t="n">
        <v>0</v>
      </c>
      <c r="Q71" t="n">
        <v>0</v>
      </c>
      <c r="R71" t="n">
        <v>0</v>
      </c>
      <c r="S71" t="n">
        <v>0</v>
      </c>
      <c r="T71" t="n">
        <v>0</v>
      </c>
      <c r="U71" t="n">
        <v>0</v>
      </c>
      <c r="V71" s="2" t="inlineStr"/>
    </row>
    <row r="72" ht="15" customHeight="1">
      <c r="A72" t="inlineStr">
        <is>
          <t>A 42696-2022</t>
        </is>
      </c>
      <c r="B72" t="inlineStr">
        <is>
          <t>avverkningsanmälan</t>
        </is>
      </c>
      <c r="C72" t="inlineStr">
        <is>
          <t>Föryngringsavverkning</t>
        </is>
      </c>
      <c r="D72" s="1" t="n">
        <v>44832</v>
      </c>
      <c r="E72" s="1" t="n">
        <v>46324</v>
      </c>
      <c r="F72" t="inlineStr">
        <is>
          <t>ÖSTERGÖTLANDS LÄN</t>
        </is>
      </c>
      <c r="G72" t="inlineStr">
        <is>
          <t>BOXHOLM</t>
        </is>
      </c>
      <c r="H72" t="inlineStr">
        <is>
          <t>Övriga Aktiebolag</t>
        </is>
      </c>
      <c r="I72" t="n">
        <v>0.8</v>
      </c>
      <c r="J72" t="n">
        <v>0</v>
      </c>
      <c r="K72" t="n">
        <v>0</v>
      </c>
      <c r="L72" t="n">
        <v>0</v>
      </c>
      <c r="M72" t="n">
        <v>0</v>
      </c>
      <c r="N72" t="n">
        <v>0</v>
      </c>
      <c r="O72" t="n">
        <v>0</v>
      </c>
      <c r="P72" t="n">
        <v>0</v>
      </c>
      <c r="Q72" t="n">
        <v>0</v>
      </c>
      <c r="R72" t="n">
        <v>0</v>
      </c>
      <c r="S72" t="n">
        <v>0</v>
      </c>
      <c r="T72" t="n">
        <v>0</v>
      </c>
      <c r="U72" t="n">
        <v>0</v>
      </c>
      <c r="V72" s="2" t="inlineStr"/>
    </row>
    <row r="73" ht="15" customHeight="1">
      <c r="A73" t="inlineStr">
        <is>
          <t>A 47145-2022</t>
        </is>
      </c>
      <c r="B73" t="inlineStr">
        <is>
          <t>avverkningsanmälan</t>
        </is>
      </c>
      <c r="C73" t="inlineStr">
        <is>
          <t>Föryngringsavverkning</t>
        </is>
      </c>
      <c r="D73" s="1" t="n">
        <v>44852</v>
      </c>
      <c r="E73" s="1" t="n">
        <v>46324</v>
      </c>
      <c r="F73" t="inlineStr">
        <is>
          <t>ÖSTERGÖTLANDS LÄN</t>
        </is>
      </c>
      <c r="G73" t="inlineStr">
        <is>
          <t>BOXHOLM</t>
        </is>
      </c>
      <c r="I73" t="n">
        <v>1.2</v>
      </c>
      <c r="J73" t="n">
        <v>0</v>
      </c>
      <c r="K73" t="n">
        <v>0</v>
      </c>
      <c r="L73" t="n">
        <v>0</v>
      </c>
      <c r="M73" t="n">
        <v>0</v>
      </c>
      <c r="N73" t="n">
        <v>0</v>
      </c>
      <c r="O73" t="n">
        <v>0</v>
      </c>
      <c r="P73" t="n">
        <v>0</v>
      </c>
      <c r="Q73" t="n">
        <v>0</v>
      </c>
      <c r="R73" t="n">
        <v>0</v>
      </c>
      <c r="S73" t="n">
        <v>0</v>
      </c>
      <c r="T73" t="n">
        <v>0</v>
      </c>
      <c r="U73" t="n">
        <v>0</v>
      </c>
      <c r="V73" s="2" t="inlineStr"/>
    </row>
    <row r="74" ht="15" customHeight="1">
      <c r="A74" t="inlineStr">
        <is>
          <t>A 54934-2022</t>
        </is>
      </c>
      <c r="B74" t="inlineStr">
        <is>
          <t>avverkningsanmälan</t>
        </is>
      </c>
      <c r="C74" t="inlineStr">
        <is>
          <t>Föryngringsavverkning</t>
        </is>
      </c>
      <c r="D74" s="1" t="n">
        <v>44886</v>
      </c>
      <c r="E74" s="1" t="n">
        <v>46324</v>
      </c>
      <c r="F74" t="inlineStr">
        <is>
          <t>ÖSTERGÖTLANDS LÄN</t>
        </is>
      </c>
      <c r="G74" t="inlineStr">
        <is>
          <t>BOXHOLM</t>
        </is>
      </c>
      <c r="I74" t="n">
        <v>1</v>
      </c>
      <c r="J74" t="n">
        <v>0</v>
      </c>
      <c r="K74" t="n">
        <v>0</v>
      </c>
      <c r="L74" t="n">
        <v>0</v>
      </c>
      <c r="M74" t="n">
        <v>0</v>
      </c>
      <c r="N74" t="n">
        <v>0</v>
      </c>
      <c r="O74" t="n">
        <v>0</v>
      </c>
      <c r="P74" t="n">
        <v>0</v>
      </c>
      <c r="Q74" t="n">
        <v>0</v>
      </c>
      <c r="R74" t="n">
        <v>0</v>
      </c>
      <c r="S74" t="n">
        <v>0</v>
      </c>
      <c r="T74" t="n">
        <v>0</v>
      </c>
      <c r="U74" t="n">
        <v>0</v>
      </c>
      <c r="V74" s="2" t="inlineStr"/>
    </row>
    <row r="75" ht="15" customHeight="1">
      <c r="A75" t="inlineStr">
        <is>
          <t>A 45877-2022</t>
        </is>
      </c>
      <c r="B75" t="inlineStr">
        <is>
          <t>avverkningsanmälan</t>
        </is>
      </c>
      <c r="C75" t="inlineStr">
        <is>
          <t>Föryngringsavverkning</t>
        </is>
      </c>
      <c r="D75" s="1" t="n">
        <v>44846</v>
      </c>
      <c r="E75" s="1" t="n">
        <v>46324</v>
      </c>
      <c r="F75" t="inlineStr">
        <is>
          <t>ÖSTERGÖTLANDS LÄN</t>
        </is>
      </c>
      <c r="G75" t="inlineStr">
        <is>
          <t>BOXHOLM</t>
        </is>
      </c>
      <c r="I75" t="n">
        <v>0.5</v>
      </c>
      <c r="J75" t="n">
        <v>0</v>
      </c>
      <c r="K75" t="n">
        <v>0</v>
      </c>
      <c r="L75" t="n">
        <v>0</v>
      </c>
      <c r="M75" t="n">
        <v>0</v>
      </c>
      <c r="N75" t="n">
        <v>0</v>
      </c>
      <c r="O75" t="n">
        <v>0</v>
      </c>
      <c r="P75" t="n">
        <v>0</v>
      </c>
      <c r="Q75" t="n">
        <v>0</v>
      </c>
      <c r="R75" t="n">
        <v>0</v>
      </c>
      <c r="S75" t="n">
        <v>0</v>
      </c>
      <c r="T75" t="n">
        <v>0</v>
      </c>
      <c r="U75" t="n">
        <v>0</v>
      </c>
      <c r="V75" s="2" t="inlineStr"/>
    </row>
    <row r="76" ht="15" customHeight="1">
      <c r="A76" t="inlineStr">
        <is>
          <t>A 50463-2022</t>
        </is>
      </c>
      <c r="B76" t="inlineStr">
        <is>
          <t>avverkningsanmälan</t>
        </is>
      </c>
      <c r="C76" t="inlineStr">
        <is>
          <t>Föryngringsavverkning</t>
        </is>
      </c>
      <c r="D76" s="1" t="n">
        <v>44866</v>
      </c>
      <c r="E76" s="1" t="n">
        <v>46324</v>
      </c>
      <c r="F76" t="inlineStr">
        <is>
          <t>ÖSTERGÖTLANDS LÄN</t>
        </is>
      </c>
      <c r="G76" t="inlineStr">
        <is>
          <t>BOXHOLM</t>
        </is>
      </c>
      <c r="H76" t="inlineStr">
        <is>
          <t>Övriga Aktiebolag</t>
        </is>
      </c>
      <c r="I76" t="n">
        <v>0.9</v>
      </c>
      <c r="J76" t="n">
        <v>0</v>
      </c>
      <c r="K76" t="n">
        <v>0</v>
      </c>
      <c r="L76" t="n">
        <v>0</v>
      </c>
      <c r="M76" t="n">
        <v>0</v>
      </c>
      <c r="N76" t="n">
        <v>0</v>
      </c>
      <c r="O76" t="n">
        <v>0</v>
      </c>
      <c r="P76" t="n">
        <v>0</v>
      </c>
      <c r="Q76" t="n">
        <v>0</v>
      </c>
      <c r="R76" t="n">
        <v>0</v>
      </c>
      <c r="S76" t="n">
        <v>0</v>
      </c>
      <c r="T76" t="n">
        <v>0</v>
      </c>
      <c r="U76" t="n">
        <v>0</v>
      </c>
      <c r="V76" s="2" t="inlineStr"/>
    </row>
    <row r="77" ht="15" customHeight="1">
      <c r="A77" t="inlineStr">
        <is>
          <t>A 16146-2023</t>
        </is>
      </c>
      <c r="B77" t="inlineStr">
        <is>
          <t>avverkningsanmälan</t>
        </is>
      </c>
      <c r="C77" t="inlineStr">
        <is>
          <t>Föryngringsavverkning</t>
        </is>
      </c>
      <c r="D77" s="1" t="n">
        <v>45027</v>
      </c>
      <c r="E77" s="1" t="n">
        <v>46324</v>
      </c>
      <c r="F77" t="inlineStr">
        <is>
          <t>ÖSTERGÖTLANDS LÄN</t>
        </is>
      </c>
      <c r="G77" t="inlineStr">
        <is>
          <t>BOXHOLM</t>
        </is>
      </c>
      <c r="H77" t="inlineStr">
        <is>
          <t>Allmännings- och besparingsskogar</t>
        </is>
      </c>
      <c r="I77" t="n">
        <v>2.9</v>
      </c>
      <c r="J77" t="n">
        <v>0</v>
      </c>
      <c r="K77" t="n">
        <v>0</v>
      </c>
      <c r="L77" t="n">
        <v>0</v>
      </c>
      <c r="M77" t="n">
        <v>0</v>
      </c>
      <c r="N77" t="n">
        <v>0</v>
      </c>
      <c r="O77" t="n">
        <v>0</v>
      </c>
      <c r="P77" t="n">
        <v>0</v>
      </c>
      <c r="Q77" t="n">
        <v>0</v>
      </c>
      <c r="R77" t="n">
        <v>0</v>
      </c>
      <c r="S77" t="n">
        <v>0</v>
      </c>
      <c r="T77" t="n">
        <v>0</v>
      </c>
      <c r="U77" t="n">
        <v>0</v>
      </c>
      <c r="V77" s="2" t="inlineStr"/>
    </row>
    <row r="78" ht="15" customHeight="1">
      <c r="A78" t="inlineStr">
        <is>
          <t>A 47333-2024</t>
        </is>
      </c>
      <c r="B78" t="inlineStr">
        <is>
          <t>avverkningsanmälan</t>
        </is>
      </c>
      <c r="C78" t="inlineStr">
        <is>
          <t>Föryngringsavverkning</t>
        </is>
      </c>
      <c r="D78" s="1" t="n">
        <v>45587</v>
      </c>
      <c r="E78" s="1" t="n">
        <v>46324</v>
      </c>
      <c r="F78" t="inlineStr">
        <is>
          <t>ÖSTERGÖTLANDS LÄN</t>
        </is>
      </c>
      <c r="G78" t="inlineStr">
        <is>
          <t>BOXHOLM</t>
        </is>
      </c>
      <c r="H78" t="inlineStr">
        <is>
          <t>Allmännings- och besparingsskogar</t>
        </is>
      </c>
      <c r="I78" t="n">
        <v>4.5</v>
      </c>
      <c r="J78" t="n">
        <v>0</v>
      </c>
      <c r="K78" t="n">
        <v>0</v>
      </c>
      <c r="L78" t="n">
        <v>0</v>
      </c>
      <c r="M78" t="n">
        <v>0</v>
      </c>
      <c r="N78" t="n">
        <v>0</v>
      </c>
      <c r="O78" t="n">
        <v>0</v>
      </c>
      <c r="P78" t="n">
        <v>0</v>
      </c>
      <c r="Q78" t="n">
        <v>0</v>
      </c>
      <c r="R78" t="n">
        <v>0</v>
      </c>
      <c r="S78" t="n">
        <v>0</v>
      </c>
      <c r="T78" t="n">
        <v>0</v>
      </c>
      <c r="U78" t="n">
        <v>0</v>
      </c>
      <c r="V78" s="2" t="inlineStr"/>
    </row>
    <row r="79" ht="15" customHeight="1">
      <c r="A79" t="inlineStr">
        <is>
          <t>A 72287-2021</t>
        </is>
      </c>
      <c r="B79" t="inlineStr">
        <is>
          <t>avverkningsanmälan</t>
        </is>
      </c>
      <c r="C79" t="inlineStr">
        <is>
          <t>Föryngringsavverkning</t>
        </is>
      </c>
      <c r="D79" s="1" t="n">
        <v>44545</v>
      </c>
      <c r="E79" s="1" t="n">
        <v>46324</v>
      </c>
      <c r="F79" t="inlineStr">
        <is>
          <t>ÖSTERGÖTLANDS LÄN</t>
        </is>
      </c>
      <c r="G79" t="inlineStr">
        <is>
          <t>BOXHOLM</t>
        </is>
      </c>
      <c r="I79" t="n">
        <v>0.9</v>
      </c>
      <c r="J79" t="n">
        <v>0</v>
      </c>
      <c r="K79" t="n">
        <v>0</v>
      </c>
      <c r="L79" t="n">
        <v>0</v>
      </c>
      <c r="M79" t="n">
        <v>0</v>
      </c>
      <c r="N79" t="n">
        <v>0</v>
      </c>
      <c r="O79" t="n">
        <v>0</v>
      </c>
      <c r="P79" t="n">
        <v>0</v>
      </c>
      <c r="Q79" t="n">
        <v>0</v>
      </c>
      <c r="R79" t="n">
        <v>0</v>
      </c>
      <c r="S79" t="n">
        <v>0</v>
      </c>
      <c r="T79" t="n">
        <v>0</v>
      </c>
      <c r="U79" t="n">
        <v>0</v>
      </c>
      <c r="V79" s="2" t="inlineStr"/>
    </row>
    <row r="80" ht="15" customHeight="1">
      <c r="A80" t="inlineStr">
        <is>
          <t>A 15502-2023</t>
        </is>
      </c>
      <c r="B80" t="inlineStr">
        <is>
          <t>avverkningsanmälan</t>
        </is>
      </c>
      <c r="C80" t="inlineStr">
        <is>
          <t>Föryngringsavverkning</t>
        </is>
      </c>
      <c r="D80" s="1" t="n">
        <v>45020</v>
      </c>
      <c r="E80" s="1" t="n">
        <v>46324</v>
      </c>
      <c r="F80" t="inlineStr">
        <is>
          <t>ÖSTERGÖTLANDS LÄN</t>
        </is>
      </c>
      <c r="G80" t="inlineStr">
        <is>
          <t>BOXHOLM</t>
        </is>
      </c>
      <c r="I80" t="n">
        <v>0.9</v>
      </c>
      <c r="J80" t="n">
        <v>0</v>
      </c>
      <c r="K80" t="n">
        <v>0</v>
      </c>
      <c r="L80" t="n">
        <v>0</v>
      </c>
      <c r="M80" t="n">
        <v>0</v>
      </c>
      <c r="N80" t="n">
        <v>0</v>
      </c>
      <c r="O80" t="n">
        <v>0</v>
      </c>
      <c r="P80" t="n">
        <v>0</v>
      </c>
      <c r="Q80" t="n">
        <v>0</v>
      </c>
      <c r="R80" t="n">
        <v>0</v>
      </c>
      <c r="S80" t="n">
        <v>0</v>
      </c>
      <c r="T80" t="n">
        <v>0</v>
      </c>
      <c r="U80" t="n">
        <v>0</v>
      </c>
      <c r="V80" s="2" t="inlineStr"/>
    </row>
    <row r="81" ht="15" customHeight="1">
      <c r="A81" t="inlineStr">
        <is>
          <t>A 6209-2024</t>
        </is>
      </c>
      <c r="B81" t="inlineStr">
        <is>
          <t>avverkningsanmälan</t>
        </is>
      </c>
      <c r="C81" t="inlineStr">
        <is>
          <t>Föryngringsavverkning</t>
        </is>
      </c>
      <c r="D81" s="1" t="n">
        <v>45337</v>
      </c>
      <c r="E81" s="1" t="n">
        <v>46324</v>
      </c>
      <c r="F81" t="inlineStr">
        <is>
          <t>ÖSTERGÖTLANDS LÄN</t>
        </is>
      </c>
      <c r="G81" t="inlineStr">
        <is>
          <t>BOXHOLM</t>
        </is>
      </c>
      <c r="I81" t="n">
        <v>3</v>
      </c>
      <c r="J81" t="n">
        <v>0</v>
      </c>
      <c r="K81" t="n">
        <v>0</v>
      </c>
      <c r="L81" t="n">
        <v>0</v>
      </c>
      <c r="M81" t="n">
        <v>0</v>
      </c>
      <c r="N81" t="n">
        <v>0</v>
      </c>
      <c r="O81" t="n">
        <v>0</v>
      </c>
      <c r="P81" t="n">
        <v>0</v>
      </c>
      <c r="Q81" t="n">
        <v>0</v>
      </c>
      <c r="R81" t="n">
        <v>0</v>
      </c>
      <c r="S81" t="n">
        <v>0</v>
      </c>
      <c r="T81" t="n">
        <v>0</v>
      </c>
      <c r="U81" t="n">
        <v>0</v>
      </c>
      <c r="V81" s="2" t="inlineStr"/>
    </row>
    <row r="82" ht="15" customHeight="1">
      <c r="A82" t="inlineStr">
        <is>
          <t>A 36453-2024</t>
        </is>
      </c>
      <c r="B82" t="inlineStr">
        <is>
          <t>avverkningsanmälan</t>
        </is>
      </c>
      <c r="C82" t="inlineStr">
        <is>
          <t>Avverkning för att bevara och utveckla /försöksver</t>
        </is>
      </c>
      <c r="D82" s="1" t="n">
        <v>45537</v>
      </c>
      <c r="E82" s="1" t="n">
        <v>46324</v>
      </c>
      <c r="F82" t="inlineStr">
        <is>
          <t>ÖSTERGÖTLANDS LÄN</t>
        </is>
      </c>
      <c r="G82" t="inlineStr">
        <is>
          <t>BOXHOLM</t>
        </is>
      </c>
      <c r="H82" t="inlineStr">
        <is>
          <t>Övriga Aktiebolag</t>
        </is>
      </c>
      <c r="I82" t="n">
        <v>0.8</v>
      </c>
      <c r="J82" t="n">
        <v>0</v>
      </c>
      <c r="K82" t="n">
        <v>0</v>
      </c>
      <c r="L82" t="n">
        <v>0</v>
      </c>
      <c r="M82" t="n">
        <v>0</v>
      </c>
      <c r="N82" t="n">
        <v>0</v>
      </c>
      <c r="O82" t="n">
        <v>0</v>
      </c>
      <c r="P82" t="n">
        <v>0</v>
      </c>
      <c r="Q82" t="n">
        <v>0</v>
      </c>
      <c r="R82" t="n">
        <v>0</v>
      </c>
      <c r="S82" t="n">
        <v>0</v>
      </c>
      <c r="T82" t="n">
        <v>0</v>
      </c>
      <c r="U82" t="n">
        <v>0</v>
      </c>
      <c r="V82" s="2" t="inlineStr"/>
    </row>
    <row r="83" ht="15" customHeight="1">
      <c r="A83" t="inlineStr">
        <is>
          <t>A 67371-2021</t>
        </is>
      </c>
      <c r="B83" t="inlineStr">
        <is>
          <t>avverkningsanmälan</t>
        </is>
      </c>
      <c r="C83" t="inlineStr">
        <is>
          <t>Föryngringsavverkning</t>
        </is>
      </c>
      <c r="D83" s="1" t="n">
        <v>44523</v>
      </c>
      <c r="E83" s="1" t="n">
        <v>46324</v>
      </c>
      <c r="F83" t="inlineStr">
        <is>
          <t>ÖSTERGÖTLANDS LÄN</t>
        </is>
      </c>
      <c r="G83" t="inlineStr">
        <is>
          <t>BOXHOLM</t>
        </is>
      </c>
      <c r="I83" t="n">
        <v>3.6</v>
      </c>
      <c r="J83" t="n">
        <v>0</v>
      </c>
      <c r="K83" t="n">
        <v>0</v>
      </c>
      <c r="L83" t="n">
        <v>0</v>
      </c>
      <c r="M83" t="n">
        <v>0</v>
      </c>
      <c r="N83" t="n">
        <v>0</v>
      </c>
      <c r="O83" t="n">
        <v>0</v>
      </c>
      <c r="P83" t="n">
        <v>0</v>
      </c>
      <c r="Q83" t="n">
        <v>0</v>
      </c>
      <c r="R83" t="n">
        <v>0</v>
      </c>
      <c r="S83" t="n">
        <v>0</v>
      </c>
      <c r="T83" t="n">
        <v>0</v>
      </c>
      <c r="U83" t="n">
        <v>0</v>
      </c>
      <c r="V83" s="2" t="inlineStr"/>
    </row>
    <row r="84" ht="15" customHeight="1">
      <c r="A84" t="inlineStr">
        <is>
          <t>A 15504-2023</t>
        </is>
      </c>
      <c r="B84" t="inlineStr">
        <is>
          <t>avverkningsanmälan</t>
        </is>
      </c>
      <c r="C84" t="inlineStr">
        <is>
          <t>Föryngringsavverkning</t>
        </is>
      </c>
      <c r="D84" s="1" t="n">
        <v>45020</v>
      </c>
      <c r="E84" s="1" t="n">
        <v>46324</v>
      </c>
      <c r="F84" t="inlineStr">
        <is>
          <t>ÖSTERGÖTLANDS LÄN</t>
        </is>
      </c>
      <c r="G84" t="inlineStr">
        <is>
          <t>BOXHOLM</t>
        </is>
      </c>
      <c r="I84" t="n">
        <v>2.1</v>
      </c>
      <c r="J84" t="n">
        <v>0</v>
      </c>
      <c r="K84" t="n">
        <v>0</v>
      </c>
      <c r="L84" t="n">
        <v>0</v>
      </c>
      <c r="M84" t="n">
        <v>0</v>
      </c>
      <c r="N84" t="n">
        <v>0</v>
      </c>
      <c r="O84" t="n">
        <v>0</v>
      </c>
      <c r="P84" t="n">
        <v>0</v>
      </c>
      <c r="Q84" t="n">
        <v>0</v>
      </c>
      <c r="R84" t="n">
        <v>0</v>
      </c>
      <c r="S84" t="n">
        <v>0</v>
      </c>
      <c r="T84" t="n">
        <v>0</v>
      </c>
      <c r="U84" t="n">
        <v>0</v>
      </c>
      <c r="V84" s="2" t="inlineStr"/>
    </row>
    <row r="85" ht="15" customHeight="1">
      <c r="A85" t="inlineStr">
        <is>
          <t>A 28309-2022</t>
        </is>
      </c>
      <c r="B85" t="inlineStr">
        <is>
          <t>avverkningsanmälan</t>
        </is>
      </c>
      <c r="C85" t="inlineStr">
        <is>
          <t>Föryngringsavverkning</t>
        </is>
      </c>
      <c r="D85" s="1" t="n">
        <v>44747</v>
      </c>
      <c r="E85" s="1" t="n">
        <v>46324</v>
      </c>
      <c r="F85" t="inlineStr">
        <is>
          <t>ÖSTERGÖTLANDS LÄN</t>
        </is>
      </c>
      <c r="G85" t="inlineStr">
        <is>
          <t>BOXHOLM</t>
        </is>
      </c>
      <c r="H85" t="inlineStr">
        <is>
          <t>Övriga Aktiebolag</t>
        </is>
      </c>
      <c r="I85" t="n">
        <v>1</v>
      </c>
      <c r="J85" t="n">
        <v>0</v>
      </c>
      <c r="K85" t="n">
        <v>0</v>
      </c>
      <c r="L85" t="n">
        <v>0</v>
      </c>
      <c r="M85" t="n">
        <v>0</v>
      </c>
      <c r="N85" t="n">
        <v>0</v>
      </c>
      <c r="O85" t="n">
        <v>0</v>
      </c>
      <c r="P85" t="n">
        <v>0</v>
      </c>
      <c r="Q85" t="n">
        <v>0</v>
      </c>
      <c r="R85" t="n">
        <v>0</v>
      </c>
      <c r="S85" t="n">
        <v>0</v>
      </c>
      <c r="T85" t="n">
        <v>0</v>
      </c>
      <c r="U85" t="n">
        <v>0</v>
      </c>
      <c r="V85" s="2" t="inlineStr"/>
    </row>
    <row r="86" ht="15" customHeight="1">
      <c r="A86" t="inlineStr">
        <is>
          <t>A 22046-2022</t>
        </is>
      </c>
      <c r="B86" t="inlineStr">
        <is>
          <t>avverkningsanmälan</t>
        </is>
      </c>
      <c r="C86" t="inlineStr">
        <is>
          <t>Föryngringsavverkning</t>
        </is>
      </c>
      <c r="D86" s="1" t="n">
        <v>44711</v>
      </c>
      <c r="E86" s="1" t="n">
        <v>46324</v>
      </c>
      <c r="F86" t="inlineStr">
        <is>
          <t>ÖSTERGÖTLANDS LÄN</t>
        </is>
      </c>
      <c r="G86" t="inlineStr">
        <is>
          <t>BOXHOLM</t>
        </is>
      </c>
      <c r="H86" t="inlineStr">
        <is>
          <t>Övriga Aktiebolag</t>
        </is>
      </c>
      <c r="I86" t="n">
        <v>0.4</v>
      </c>
      <c r="J86" t="n">
        <v>0</v>
      </c>
      <c r="K86" t="n">
        <v>0</v>
      </c>
      <c r="L86" t="n">
        <v>0</v>
      </c>
      <c r="M86" t="n">
        <v>0</v>
      </c>
      <c r="N86" t="n">
        <v>0</v>
      </c>
      <c r="O86" t="n">
        <v>0</v>
      </c>
      <c r="P86" t="n">
        <v>0</v>
      </c>
      <c r="Q86" t="n">
        <v>0</v>
      </c>
      <c r="R86" t="n">
        <v>0</v>
      </c>
      <c r="S86" t="n">
        <v>0</v>
      </c>
      <c r="T86" t="n">
        <v>0</v>
      </c>
      <c r="U86" t="n">
        <v>0</v>
      </c>
      <c r="V86" s="2" t="inlineStr"/>
    </row>
    <row r="87" ht="15" customHeight="1">
      <c r="A87" t="inlineStr">
        <is>
          <t>A 36281-2022</t>
        </is>
      </c>
      <c r="B87" t="inlineStr">
        <is>
          <t>avverkningsanmälan</t>
        </is>
      </c>
      <c r="C87" t="inlineStr">
        <is>
          <t>Föryngringsavverkning</t>
        </is>
      </c>
      <c r="D87" s="1" t="n">
        <v>44803</v>
      </c>
      <c r="E87" s="1" t="n">
        <v>46324</v>
      </c>
      <c r="F87" t="inlineStr">
        <is>
          <t>ÖSTERGÖTLANDS LÄN</t>
        </is>
      </c>
      <c r="G87" t="inlineStr">
        <is>
          <t>BOXHOLM</t>
        </is>
      </c>
      <c r="I87" t="n">
        <v>0.8</v>
      </c>
      <c r="J87" t="n">
        <v>0</v>
      </c>
      <c r="K87" t="n">
        <v>0</v>
      </c>
      <c r="L87" t="n">
        <v>0</v>
      </c>
      <c r="M87" t="n">
        <v>0</v>
      </c>
      <c r="N87" t="n">
        <v>0</v>
      </c>
      <c r="O87" t="n">
        <v>0</v>
      </c>
      <c r="P87" t="n">
        <v>0</v>
      </c>
      <c r="Q87" t="n">
        <v>0</v>
      </c>
      <c r="R87" t="n">
        <v>0</v>
      </c>
      <c r="S87" t="n">
        <v>0</v>
      </c>
      <c r="T87" t="n">
        <v>0</v>
      </c>
      <c r="U87" t="n">
        <v>0</v>
      </c>
      <c r="V87" s="2" t="inlineStr"/>
    </row>
    <row r="88" ht="15" customHeight="1">
      <c r="A88" t="inlineStr">
        <is>
          <t>A 41080-2024</t>
        </is>
      </c>
      <c r="B88" t="inlineStr">
        <is>
          <t>avverkningsanmälan</t>
        </is>
      </c>
      <c r="C88" t="inlineStr">
        <is>
          <t>Föryngringsavverkning</t>
        </is>
      </c>
      <c r="D88" s="1" t="n">
        <v>45559</v>
      </c>
      <c r="E88" s="1" t="n">
        <v>46324</v>
      </c>
      <c r="F88" t="inlineStr">
        <is>
          <t>ÖSTERGÖTLANDS LÄN</t>
        </is>
      </c>
      <c r="G88" t="inlineStr">
        <is>
          <t>BOXHOLM</t>
        </is>
      </c>
      <c r="H88" t="inlineStr">
        <is>
          <t>Allmännings- och besparingsskogar</t>
        </is>
      </c>
      <c r="I88" t="n">
        <v>7</v>
      </c>
      <c r="J88" t="n">
        <v>0</v>
      </c>
      <c r="K88" t="n">
        <v>0</v>
      </c>
      <c r="L88" t="n">
        <v>0</v>
      </c>
      <c r="M88" t="n">
        <v>0</v>
      </c>
      <c r="N88" t="n">
        <v>0</v>
      </c>
      <c r="O88" t="n">
        <v>0</v>
      </c>
      <c r="P88" t="n">
        <v>0</v>
      </c>
      <c r="Q88" t="n">
        <v>0</v>
      </c>
      <c r="R88" t="n">
        <v>0</v>
      </c>
      <c r="S88" t="n">
        <v>0</v>
      </c>
      <c r="T88" t="n">
        <v>0</v>
      </c>
      <c r="U88" t="n">
        <v>0</v>
      </c>
      <c r="V88" s="2" t="inlineStr"/>
    </row>
    <row r="89" ht="15" customHeight="1">
      <c r="A89" t="inlineStr">
        <is>
          <t>A 24325-2025</t>
        </is>
      </c>
      <c r="B89" t="inlineStr">
        <is>
          <t>avverkningsanmälan</t>
        </is>
      </c>
      <c r="C89" t="inlineStr">
        <is>
          <t>Föryngringsavverkning</t>
        </is>
      </c>
      <c r="D89" s="1" t="n">
        <v>45797</v>
      </c>
      <c r="E89" s="1" t="n">
        <v>46324</v>
      </c>
      <c r="F89" t="inlineStr">
        <is>
          <t>ÖSTERGÖTLANDS LÄN</t>
        </is>
      </c>
      <c r="G89" t="inlineStr">
        <is>
          <t>BOXHOLM</t>
        </is>
      </c>
      <c r="I89" t="n">
        <v>3.6</v>
      </c>
      <c r="J89" t="n">
        <v>0</v>
      </c>
      <c r="K89" t="n">
        <v>0</v>
      </c>
      <c r="L89" t="n">
        <v>0</v>
      </c>
      <c r="M89" t="n">
        <v>0</v>
      </c>
      <c r="N89" t="n">
        <v>0</v>
      </c>
      <c r="O89" t="n">
        <v>0</v>
      </c>
      <c r="P89" t="n">
        <v>0</v>
      </c>
      <c r="Q89" t="n">
        <v>0</v>
      </c>
      <c r="R89" t="n">
        <v>0</v>
      </c>
      <c r="S89" t="n">
        <v>0</v>
      </c>
      <c r="T89" t="n">
        <v>0</v>
      </c>
      <c r="U89" t="n">
        <v>0</v>
      </c>
      <c r="V89" s="2" t="inlineStr"/>
    </row>
    <row r="90" ht="15" customHeight="1">
      <c r="A90" t="inlineStr">
        <is>
          <t>A 24122-2023</t>
        </is>
      </c>
      <c r="B90" t="inlineStr">
        <is>
          <t>avverkningsanmälan</t>
        </is>
      </c>
      <c r="C90" t="inlineStr">
        <is>
          <t>Föryngringsavverkning</t>
        </is>
      </c>
      <c r="D90" s="1" t="n">
        <v>45079</v>
      </c>
      <c r="E90" s="1" t="n">
        <v>46324</v>
      </c>
      <c r="F90" t="inlineStr">
        <is>
          <t>ÖSTERGÖTLANDS LÄN</t>
        </is>
      </c>
      <c r="G90" t="inlineStr">
        <is>
          <t>BOXHOLM</t>
        </is>
      </c>
      <c r="I90" t="n">
        <v>3.7</v>
      </c>
      <c r="J90" t="n">
        <v>0</v>
      </c>
      <c r="K90" t="n">
        <v>0</v>
      </c>
      <c r="L90" t="n">
        <v>0</v>
      </c>
      <c r="M90" t="n">
        <v>0</v>
      </c>
      <c r="N90" t="n">
        <v>0</v>
      </c>
      <c r="O90" t="n">
        <v>0</v>
      </c>
      <c r="P90" t="n">
        <v>0</v>
      </c>
      <c r="Q90" t="n">
        <v>0</v>
      </c>
      <c r="R90" t="n">
        <v>0</v>
      </c>
      <c r="S90" t="n">
        <v>0</v>
      </c>
      <c r="T90" t="n">
        <v>0</v>
      </c>
      <c r="U90" t="n">
        <v>0</v>
      </c>
      <c r="V90" s="2" t="inlineStr"/>
    </row>
    <row r="91" ht="15" customHeight="1">
      <c r="A91" t="inlineStr">
        <is>
          <t>A 4190-2024</t>
        </is>
      </c>
      <c r="B91" t="inlineStr">
        <is>
          <t>avverkningsanmälan</t>
        </is>
      </c>
      <c r="C91" t="inlineStr">
        <is>
          <t>Föryngringsavverkning</t>
        </is>
      </c>
      <c r="D91" s="1" t="n">
        <v>45324</v>
      </c>
      <c r="E91" s="1" t="n">
        <v>46324</v>
      </c>
      <c r="F91" t="inlineStr">
        <is>
          <t>ÖSTERGÖTLANDS LÄN</t>
        </is>
      </c>
      <c r="G91" t="inlineStr">
        <is>
          <t>BOXHOLM</t>
        </is>
      </c>
      <c r="H91" t="inlineStr">
        <is>
          <t>Övriga Aktiebolag</t>
        </is>
      </c>
      <c r="I91" t="n">
        <v>0.7</v>
      </c>
      <c r="J91" t="n">
        <v>0</v>
      </c>
      <c r="K91" t="n">
        <v>0</v>
      </c>
      <c r="L91" t="n">
        <v>0</v>
      </c>
      <c r="M91" t="n">
        <v>0</v>
      </c>
      <c r="N91" t="n">
        <v>0</v>
      </c>
      <c r="O91" t="n">
        <v>0</v>
      </c>
      <c r="P91" t="n">
        <v>0</v>
      </c>
      <c r="Q91" t="n">
        <v>0</v>
      </c>
      <c r="R91" t="n">
        <v>0</v>
      </c>
      <c r="S91" t="n">
        <v>0</v>
      </c>
      <c r="T91" t="n">
        <v>0</v>
      </c>
      <c r="U91" t="n">
        <v>0</v>
      </c>
      <c r="V91" s="2" t="inlineStr"/>
    </row>
    <row r="92" ht="15" customHeight="1">
      <c r="A92" t="inlineStr">
        <is>
          <t>A 39486-2024</t>
        </is>
      </c>
      <c r="B92" t="inlineStr">
        <is>
          <t>avverkningsanmälan</t>
        </is>
      </c>
      <c r="C92" t="inlineStr">
        <is>
          <t>Föryngringsavverkning</t>
        </is>
      </c>
      <c r="D92" s="1" t="n">
        <v>45551</v>
      </c>
      <c r="E92" s="1" t="n">
        <v>46324</v>
      </c>
      <c r="F92" t="inlineStr">
        <is>
          <t>ÖSTERGÖTLANDS LÄN</t>
        </is>
      </c>
      <c r="G92" t="inlineStr">
        <is>
          <t>BOXHOLM</t>
        </is>
      </c>
      <c r="H92" t="inlineStr">
        <is>
          <t>Allmännings- och besparingsskogar</t>
        </is>
      </c>
      <c r="I92" t="n">
        <v>6</v>
      </c>
      <c r="J92" t="n">
        <v>0</v>
      </c>
      <c r="K92" t="n">
        <v>0</v>
      </c>
      <c r="L92" t="n">
        <v>0</v>
      </c>
      <c r="M92" t="n">
        <v>0</v>
      </c>
      <c r="N92" t="n">
        <v>0</v>
      </c>
      <c r="O92" t="n">
        <v>0</v>
      </c>
      <c r="P92" t="n">
        <v>0</v>
      </c>
      <c r="Q92" t="n">
        <v>0</v>
      </c>
      <c r="R92" t="n">
        <v>0</v>
      </c>
      <c r="S92" t="n">
        <v>0</v>
      </c>
      <c r="T92" t="n">
        <v>0</v>
      </c>
      <c r="U92" t="n">
        <v>0</v>
      </c>
      <c r="V92" s="2" t="inlineStr"/>
    </row>
    <row r="93" ht="15" customHeight="1">
      <c r="A93" t="inlineStr">
        <is>
          <t>A 24859-2022</t>
        </is>
      </c>
      <c r="B93" t="inlineStr">
        <is>
          <t>avverkningsanmälan</t>
        </is>
      </c>
      <c r="C93" t="inlineStr">
        <is>
          <t>Föryngringsavverkning</t>
        </is>
      </c>
      <c r="D93" s="1" t="n">
        <v>44728</v>
      </c>
      <c r="E93" s="1" t="n">
        <v>46324</v>
      </c>
      <c r="F93" t="inlineStr">
        <is>
          <t>ÖSTERGÖTLANDS LÄN</t>
        </is>
      </c>
      <c r="G93" t="inlineStr">
        <is>
          <t>BOXHOLM</t>
        </is>
      </c>
      <c r="H93" t="inlineStr">
        <is>
          <t>Övriga Aktiebolag</t>
        </is>
      </c>
      <c r="I93" t="n">
        <v>0.7</v>
      </c>
      <c r="J93" t="n">
        <v>0</v>
      </c>
      <c r="K93" t="n">
        <v>0</v>
      </c>
      <c r="L93" t="n">
        <v>0</v>
      </c>
      <c r="M93" t="n">
        <v>0</v>
      </c>
      <c r="N93" t="n">
        <v>0</v>
      </c>
      <c r="O93" t="n">
        <v>0</v>
      </c>
      <c r="P93" t="n">
        <v>0</v>
      </c>
      <c r="Q93" t="n">
        <v>0</v>
      </c>
      <c r="R93" t="n">
        <v>0</v>
      </c>
      <c r="S93" t="n">
        <v>0</v>
      </c>
      <c r="T93" t="n">
        <v>0</v>
      </c>
      <c r="U93" t="n">
        <v>0</v>
      </c>
      <c r="V93" s="2" t="inlineStr"/>
    </row>
    <row r="94" ht="15" customHeight="1">
      <c r="A94" t="inlineStr">
        <is>
          <t>A 25937-2024</t>
        </is>
      </c>
      <c r="B94" t="inlineStr">
        <is>
          <t>avverkningsanmälan</t>
        </is>
      </c>
      <c r="C94" t="inlineStr">
        <is>
          <t>Föryngringsavverkning</t>
        </is>
      </c>
      <c r="D94" s="1" t="n">
        <v>45467</v>
      </c>
      <c r="E94" s="1" t="n">
        <v>46324</v>
      </c>
      <c r="F94" t="inlineStr">
        <is>
          <t>ÖSTERGÖTLANDS LÄN</t>
        </is>
      </c>
      <c r="G94" t="inlineStr">
        <is>
          <t>BOXHOLM</t>
        </is>
      </c>
      <c r="I94" t="n">
        <v>10</v>
      </c>
      <c r="J94" t="n">
        <v>0</v>
      </c>
      <c r="K94" t="n">
        <v>0</v>
      </c>
      <c r="L94" t="n">
        <v>0</v>
      </c>
      <c r="M94" t="n">
        <v>0</v>
      </c>
      <c r="N94" t="n">
        <v>0</v>
      </c>
      <c r="O94" t="n">
        <v>0</v>
      </c>
      <c r="P94" t="n">
        <v>0</v>
      </c>
      <c r="Q94" t="n">
        <v>0</v>
      </c>
      <c r="R94" t="n">
        <v>0</v>
      </c>
      <c r="S94" t="n">
        <v>0</v>
      </c>
      <c r="T94" t="n">
        <v>0</v>
      </c>
      <c r="U94" t="n">
        <v>0</v>
      </c>
      <c r="V94" s="2" t="inlineStr"/>
    </row>
    <row r="95" ht="15" customHeight="1">
      <c r="A95" t="inlineStr">
        <is>
          <t>A 48475-2024</t>
        </is>
      </c>
      <c r="B95" t="inlineStr">
        <is>
          <t>avverkningsanmälan</t>
        </is>
      </c>
      <c r="C95" t="inlineStr">
        <is>
          <t>Föryngringsavverkning</t>
        </is>
      </c>
      <c r="D95" s="1" t="n">
        <v>45591</v>
      </c>
      <c r="E95" s="1" t="n">
        <v>46324</v>
      </c>
      <c r="F95" t="inlineStr">
        <is>
          <t>ÖSTERGÖTLANDS LÄN</t>
        </is>
      </c>
      <c r="G95" t="inlineStr">
        <is>
          <t>BOXHOLM</t>
        </is>
      </c>
      <c r="I95" t="n">
        <v>1.2</v>
      </c>
      <c r="J95" t="n">
        <v>0</v>
      </c>
      <c r="K95" t="n">
        <v>0</v>
      </c>
      <c r="L95" t="n">
        <v>0</v>
      </c>
      <c r="M95" t="n">
        <v>0</v>
      </c>
      <c r="N95" t="n">
        <v>0</v>
      </c>
      <c r="O95" t="n">
        <v>0</v>
      </c>
      <c r="P95" t="n">
        <v>0</v>
      </c>
      <c r="Q95" t="n">
        <v>0</v>
      </c>
      <c r="R95" t="n">
        <v>0</v>
      </c>
      <c r="S95" t="n">
        <v>0</v>
      </c>
      <c r="T95" t="n">
        <v>0</v>
      </c>
      <c r="U95" t="n">
        <v>0</v>
      </c>
      <c r="V95" s="2" t="inlineStr"/>
    </row>
    <row r="96" ht="15" customHeight="1">
      <c r="A96" t="inlineStr">
        <is>
          <t>A 24508-2024</t>
        </is>
      </c>
      <c r="B96" t="inlineStr">
        <is>
          <t>avverkningsanmälan</t>
        </is>
      </c>
      <c r="C96" t="inlineStr">
        <is>
          <t>Föryngringsavverkning</t>
        </is>
      </c>
      <c r="D96" s="1" t="n">
        <v>45460</v>
      </c>
      <c r="E96" s="1" t="n">
        <v>46324</v>
      </c>
      <c r="F96" t="inlineStr">
        <is>
          <t>ÖSTERGÖTLANDS LÄN</t>
        </is>
      </c>
      <c r="G96" t="inlineStr">
        <is>
          <t>BOXHOLM</t>
        </is>
      </c>
      <c r="I96" t="n">
        <v>0.4</v>
      </c>
      <c r="J96" t="n">
        <v>0</v>
      </c>
      <c r="K96" t="n">
        <v>0</v>
      </c>
      <c r="L96" t="n">
        <v>0</v>
      </c>
      <c r="M96" t="n">
        <v>0</v>
      </c>
      <c r="N96" t="n">
        <v>0</v>
      </c>
      <c r="O96" t="n">
        <v>0</v>
      </c>
      <c r="P96" t="n">
        <v>0</v>
      </c>
      <c r="Q96" t="n">
        <v>0</v>
      </c>
      <c r="R96" t="n">
        <v>0</v>
      </c>
      <c r="S96" t="n">
        <v>0</v>
      </c>
      <c r="T96" t="n">
        <v>0</v>
      </c>
      <c r="U96" t="n">
        <v>0</v>
      </c>
      <c r="V96" s="2" t="inlineStr"/>
    </row>
    <row r="97" ht="15" customHeight="1">
      <c r="A97" t="inlineStr">
        <is>
          <t>A 17679-2025</t>
        </is>
      </c>
      <c r="B97" t="inlineStr">
        <is>
          <t>avverkningsanmälan</t>
        </is>
      </c>
      <c r="C97" t="inlineStr">
        <is>
          <t>Avverkning för att bevara och utveckla /försöksver</t>
        </is>
      </c>
      <c r="D97" s="1" t="n">
        <v>45758</v>
      </c>
      <c r="E97" s="1" t="n">
        <v>46324</v>
      </c>
      <c r="F97" t="inlineStr">
        <is>
          <t>ÖSTERGÖTLANDS LÄN</t>
        </is>
      </c>
      <c r="G97" t="inlineStr">
        <is>
          <t>BOXHOLM</t>
        </is>
      </c>
      <c r="H97" t="inlineStr">
        <is>
          <t>Övriga Aktiebolag</t>
        </is>
      </c>
      <c r="I97" t="n">
        <v>0.7</v>
      </c>
      <c r="J97" t="n">
        <v>0</v>
      </c>
      <c r="K97" t="n">
        <v>0</v>
      </c>
      <c r="L97" t="n">
        <v>0</v>
      </c>
      <c r="M97" t="n">
        <v>0</v>
      </c>
      <c r="N97" t="n">
        <v>0</v>
      </c>
      <c r="O97" t="n">
        <v>0</v>
      </c>
      <c r="P97" t="n">
        <v>0</v>
      </c>
      <c r="Q97" t="n">
        <v>0</v>
      </c>
      <c r="R97" t="n">
        <v>0</v>
      </c>
      <c r="S97" t="n">
        <v>0</v>
      </c>
      <c r="T97" t="n">
        <v>0</v>
      </c>
      <c r="U97" t="n">
        <v>0</v>
      </c>
      <c r="V97" s="2" t="inlineStr"/>
    </row>
    <row r="98" ht="15" customHeight="1">
      <c r="A98" t="inlineStr">
        <is>
          <t>A 35091-2023</t>
        </is>
      </c>
      <c r="B98" t="inlineStr">
        <is>
          <t>avverkningsanmälan</t>
        </is>
      </c>
      <c r="C98" t="inlineStr">
        <is>
          <t>Föryngringsavverkning</t>
        </is>
      </c>
      <c r="D98" s="1" t="n">
        <v>45145</v>
      </c>
      <c r="E98" s="1" t="n">
        <v>46324</v>
      </c>
      <c r="F98" t="inlineStr">
        <is>
          <t>ÖSTERGÖTLANDS LÄN</t>
        </is>
      </c>
      <c r="G98" t="inlineStr">
        <is>
          <t>BOXHOLM</t>
        </is>
      </c>
      <c r="I98" t="n">
        <v>1.1</v>
      </c>
      <c r="J98" t="n">
        <v>0</v>
      </c>
      <c r="K98" t="n">
        <v>0</v>
      </c>
      <c r="L98" t="n">
        <v>0</v>
      </c>
      <c r="M98" t="n">
        <v>0</v>
      </c>
      <c r="N98" t="n">
        <v>0</v>
      </c>
      <c r="O98" t="n">
        <v>0</v>
      </c>
      <c r="P98" t="n">
        <v>0</v>
      </c>
      <c r="Q98" t="n">
        <v>0</v>
      </c>
      <c r="R98" t="n">
        <v>0</v>
      </c>
      <c r="S98" t="n">
        <v>0</v>
      </c>
      <c r="T98" t="n">
        <v>0</v>
      </c>
      <c r="U98" t="n">
        <v>0</v>
      </c>
      <c r="V98" s="2" t="inlineStr"/>
    </row>
    <row r="99" ht="15" customHeight="1">
      <c r="A99" t="inlineStr">
        <is>
          <t>A 26643-2025</t>
        </is>
      </c>
      <c r="B99" t="inlineStr">
        <is>
          <t>avverkningsanmälan</t>
        </is>
      </c>
      <c r="C99" t="inlineStr">
        <is>
          <t>Föryngringsavverkning</t>
        </is>
      </c>
      <c r="D99" s="1" t="n">
        <v>45809</v>
      </c>
      <c r="E99" s="1" t="n">
        <v>46324</v>
      </c>
      <c r="F99" t="inlineStr">
        <is>
          <t>ÖSTERGÖTLANDS LÄN</t>
        </is>
      </c>
      <c r="G99" t="inlineStr">
        <is>
          <t>BOXHOLM</t>
        </is>
      </c>
      <c r="I99" t="n">
        <v>0.6</v>
      </c>
      <c r="J99" t="n">
        <v>0</v>
      </c>
      <c r="K99" t="n">
        <v>0</v>
      </c>
      <c r="L99" t="n">
        <v>0</v>
      </c>
      <c r="M99" t="n">
        <v>0</v>
      </c>
      <c r="N99" t="n">
        <v>0</v>
      </c>
      <c r="O99" t="n">
        <v>0</v>
      </c>
      <c r="P99" t="n">
        <v>0</v>
      </c>
      <c r="Q99" t="n">
        <v>0</v>
      </c>
      <c r="R99" t="n">
        <v>0</v>
      </c>
      <c r="S99" t="n">
        <v>0</v>
      </c>
      <c r="T99" t="n">
        <v>0</v>
      </c>
      <c r="U99" t="n">
        <v>0</v>
      </c>
      <c r="V99" s="2" t="inlineStr"/>
    </row>
    <row r="100" ht="15" customHeight="1">
      <c r="A100" t="inlineStr">
        <is>
          <t>A 53342-2024</t>
        </is>
      </c>
      <c r="B100" t="inlineStr">
        <is>
          <t>avverkningsanmälan</t>
        </is>
      </c>
      <c r="C100" t="inlineStr">
        <is>
          <t>Föryngringsavverkning</t>
        </is>
      </c>
      <c r="D100" s="1" t="n">
        <v>45614</v>
      </c>
      <c r="E100" s="1" t="n">
        <v>46324</v>
      </c>
      <c r="F100" t="inlineStr">
        <is>
          <t>ÖSTERGÖTLANDS LÄN</t>
        </is>
      </c>
      <c r="G100" t="inlineStr">
        <is>
          <t>BOXHOLM</t>
        </is>
      </c>
      <c r="H100" t="inlineStr">
        <is>
          <t>Övriga Aktiebolag</t>
        </is>
      </c>
      <c r="I100" t="n">
        <v>1.5</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74111-2021</t>
        </is>
      </c>
      <c r="B101" t="inlineStr">
        <is>
          <t>avverkningsanmälan</t>
        </is>
      </c>
      <c r="C101" t="inlineStr">
        <is>
          <t>Föryngringsavverkning</t>
        </is>
      </c>
      <c r="D101" s="1" t="n">
        <v>44557</v>
      </c>
      <c r="E101" s="1" t="n">
        <v>46324</v>
      </c>
      <c r="F101" t="inlineStr">
        <is>
          <t>ÖSTERGÖTLANDS LÄN</t>
        </is>
      </c>
      <c r="G101" t="inlineStr">
        <is>
          <t>BOXHOLM</t>
        </is>
      </c>
      <c r="I101" t="n">
        <v>5.3</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15420-2025</t>
        </is>
      </c>
      <c r="B102" t="inlineStr">
        <is>
          <t>avverkningsanmälan</t>
        </is>
      </c>
      <c r="C102" t="inlineStr">
        <is>
          <t>Avverkning för att bevara och utveckla /försöksver</t>
        </is>
      </c>
      <c r="D102" s="1" t="n">
        <v>45747</v>
      </c>
      <c r="E102" s="1" t="n">
        <v>46324</v>
      </c>
      <c r="F102" t="inlineStr">
        <is>
          <t>ÖSTERGÖTLANDS LÄN</t>
        </is>
      </c>
      <c r="G102" t="inlineStr">
        <is>
          <t>BOXHOLM</t>
        </is>
      </c>
      <c r="H102" t="inlineStr">
        <is>
          <t>Övriga Aktiebolag</t>
        </is>
      </c>
      <c r="I102" t="n">
        <v>3.1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14946-2022</t>
        </is>
      </c>
      <c r="B103" t="inlineStr">
        <is>
          <t>avverkningsanmälan</t>
        </is>
      </c>
      <c r="C103" t="inlineStr">
        <is>
          <t>Föryngringsavverkning</t>
        </is>
      </c>
      <c r="D103" s="1" t="n">
        <v>44657</v>
      </c>
      <c r="E103" s="1" t="n">
        <v>46324</v>
      </c>
      <c r="F103" t="inlineStr">
        <is>
          <t>ÖSTERGÖTLANDS LÄN</t>
        </is>
      </c>
      <c r="G103" t="inlineStr">
        <is>
          <t>BOXHOLM</t>
        </is>
      </c>
      <c r="I103" t="n">
        <v>0.8</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14628-2023</t>
        </is>
      </c>
      <c r="B104" t="inlineStr">
        <is>
          <t>avverkningsanmälan</t>
        </is>
      </c>
      <c r="C104" t="inlineStr">
        <is>
          <t>Föryngringsavverkning</t>
        </is>
      </c>
      <c r="D104" s="1" t="n">
        <v>45013</v>
      </c>
      <c r="E104" s="1" t="n">
        <v>46324</v>
      </c>
      <c r="F104" t="inlineStr">
        <is>
          <t>ÖSTERGÖTLANDS LÄN</t>
        </is>
      </c>
      <c r="G104" t="inlineStr">
        <is>
          <t>BOXHOLM</t>
        </is>
      </c>
      <c r="I104" t="n">
        <v>0.8</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39693-2024</t>
        </is>
      </c>
      <c r="B105" t="inlineStr">
        <is>
          <t>avverkningsanmälan</t>
        </is>
      </c>
      <c r="C105" t="inlineStr">
        <is>
          <t>Föryngringsavverkning</t>
        </is>
      </c>
      <c r="D105" s="1" t="n">
        <v>45552</v>
      </c>
      <c r="E105" s="1" t="n">
        <v>46324</v>
      </c>
      <c r="F105" t="inlineStr">
        <is>
          <t>ÖSTERGÖTLANDS LÄN</t>
        </is>
      </c>
      <c r="G105" t="inlineStr">
        <is>
          <t>BOXHOLM</t>
        </is>
      </c>
      <c r="H105" t="inlineStr">
        <is>
          <t>Allmännings- och besparingsskogar</t>
        </is>
      </c>
      <c r="I105" t="n">
        <v>0.5</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9115-2023</t>
        </is>
      </c>
      <c r="B106" t="inlineStr">
        <is>
          <t>avverkningsanmälan</t>
        </is>
      </c>
      <c r="C106" t="inlineStr">
        <is>
          <t>Föryngringsavverkning</t>
        </is>
      </c>
      <c r="D106" s="1" t="n">
        <v>44980</v>
      </c>
      <c r="E106" s="1" t="n">
        <v>46324</v>
      </c>
      <c r="F106" t="inlineStr">
        <is>
          <t>ÖSTERGÖTLANDS LÄN</t>
        </is>
      </c>
      <c r="G106" t="inlineStr">
        <is>
          <t>BOXHOLM</t>
        </is>
      </c>
      <c r="I106" t="n">
        <v>2.7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40594-2025</t>
        </is>
      </c>
      <c r="B107" t="inlineStr">
        <is>
          <t>avverkningsanmälan</t>
        </is>
      </c>
      <c r="C107" t="inlineStr">
        <is>
          <t>Föryngringsavverkning</t>
        </is>
      </c>
      <c r="D107" s="1" t="n">
        <v>45896</v>
      </c>
      <c r="E107" s="1" t="n">
        <v>46324</v>
      </c>
      <c r="F107" t="inlineStr">
        <is>
          <t>ÖSTERGÖTLANDS LÄN</t>
        </is>
      </c>
      <c r="G107" t="inlineStr">
        <is>
          <t>BOXHOLM</t>
        </is>
      </c>
      <c r="I107" t="n">
        <v>0.8</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59779-2022</t>
        </is>
      </c>
      <c r="B108" t="inlineStr">
        <is>
          <t>avverkningsanmälan</t>
        </is>
      </c>
      <c r="C108" t="inlineStr">
        <is>
          <t>Föryngringsavverkning</t>
        </is>
      </c>
      <c r="D108" s="1" t="n">
        <v>44908</v>
      </c>
      <c r="E108" s="1" t="n">
        <v>46324</v>
      </c>
      <c r="F108" t="inlineStr">
        <is>
          <t>ÖSTERGÖTLANDS LÄN</t>
        </is>
      </c>
      <c r="G108" t="inlineStr">
        <is>
          <t>BOXHOLM</t>
        </is>
      </c>
      <c r="H108" t="inlineStr">
        <is>
          <t>Övriga Aktiebolag</t>
        </is>
      </c>
      <c r="I108" t="n">
        <v>4.1</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51763-2023</t>
        </is>
      </c>
      <c r="B109" t="inlineStr">
        <is>
          <t>avverkningsanmälan</t>
        </is>
      </c>
      <c r="C109" t="inlineStr">
        <is>
          <t>Föryngringsavverkning</t>
        </is>
      </c>
      <c r="D109" s="1" t="n">
        <v>45222</v>
      </c>
      <c r="E109" s="1" t="n">
        <v>46324</v>
      </c>
      <c r="F109" t="inlineStr">
        <is>
          <t>ÖSTERGÖTLANDS LÄN</t>
        </is>
      </c>
      <c r="G109" t="inlineStr">
        <is>
          <t>BOXHOLM</t>
        </is>
      </c>
      <c r="I109" t="n">
        <v>1.9</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41741-2025</t>
        </is>
      </c>
      <c r="B110" t="inlineStr">
        <is>
          <t>avverkningsanmälan</t>
        </is>
      </c>
      <c r="C110" t="inlineStr">
        <is>
          <t>Avverkning för att bevara och utveckla /försöksver</t>
        </is>
      </c>
      <c r="D110" s="1" t="n">
        <v>45902</v>
      </c>
      <c r="E110" s="1" t="n">
        <v>46324</v>
      </c>
      <c r="F110" t="inlineStr">
        <is>
          <t>ÖSTERGÖTLANDS LÄN</t>
        </is>
      </c>
      <c r="G110" t="inlineStr">
        <is>
          <t>BOXHOLM</t>
        </is>
      </c>
      <c r="H110" t="inlineStr">
        <is>
          <t>Övriga Aktiebolag</t>
        </is>
      </c>
      <c r="I110" t="n">
        <v>2.3</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22856-2023</t>
        </is>
      </c>
      <c r="B111" t="inlineStr">
        <is>
          <t>avverkningsanmälan</t>
        </is>
      </c>
      <c r="C111" t="inlineStr">
        <is>
          <t>Föryngringsavverkning</t>
        </is>
      </c>
      <c r="D111" s="1" t="n">
        <v>45072</v>
      </c>
      <c r="E111" s="1" t="n">
        <v>46324</v>
      </c>
      <c r="F111" t="inlineStr">
        <is>
          <t>ÖSTERGÖTLANDS LÄN</t>
        </is>
      </c>
      <c r="G111" t="inlineStr">
        <is>
          <t>BOXHOLM</t>
        </is>
      </c>
      <c r="I111" t="n">
        <v>2.5</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15500-2023</t>
        </is>
      </c>
      <c r="B112" t="inlineStr">
        <is>
          <t>avverkningsanmälan</t>
        </is>
      </c>
      <c r="C112" t="inlineStr">
        <is>
          <t>Föryngringsavverkning</t>
        </is>
      </c>
      <c r="D112" s="1" t="n">
        <v>45020</v>
      </c>
      <c r="E112" s="1" t="n">
        <v>46324</v>
      </c>
      <c r="F112" t="inlineStr">
        <is>
          <t>ÖSTERGÖTLANDS LÄN</t>
        </is>
      </c>
      <c r="G112" t="inlineStr">
        <is>
          <t>BOXHOLM</t>
        </is>
      </c>
      <c r="I112" t="n">
        <v>0</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19561-2024</t>
        </is>
      </c>
      <c r="B113" t="inlineStr">
        <is>
          <t>avverkningsanmälan</t>
        </is>
      </c>
      <c r="C113" t="inlineStr">
        <is>
          <t>Föryngringsavverkning</t>
        </is>
      </c>
      <c r="D113" s="1" t="n">
        <v>45429</v>
      </c>
      <c r="E113" s="1" t="n">
        <v>46324</v>
      </c>
      <c r="F113" t="inlineStr">
        <is>
          <t>ÖSTERGÖTLANDS LÄN</t>
        </is>
      </c>
      <c r="G113" t="inlineStr">
        <is>
          <t>BOXHOLM</t>
        </is>
      </c>
      <c r="I113" t="n">
        <v>5.5</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25254-2023</t>
        </is>
      </c>
      <c r="B114" t="inlineStr">
        <is>
          <t>avverkningsanmälan</t>
        </is>
      </c>
      <c r="C114" t="inlineStr">
        <is>
          <t>Föryngringsavverkning</t>
        </is>
      </c>
      <c r="D114" s="1" t="n">
        <v>45086</v>
      </c>
      <c r="E114" s="1" t="n">
        <v>46324</v>
      </c>
      <c r="F114" t="inlineStr">
        <is>
          <t>ÖSTERGÖTLANDS LÄN</t>
        </is>
      </c>
      <c r="G114" t="inlineStr">
        <is>
          <t>BOXHOLM</t>
        </is>
      </c>
      <c r="I114" t="n">
        <v>1.2</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43599-2025</t>
        </is>
      </c>
      <c r="B115" t="inlineStr">
        <is>
          <t>avverkningsanmälan</t>
        </is>
      </c>
      <c r="C115" t="inlineStr">
        <is>
          <t>Föryngringsavverkning</t>
        </is>
      </c>
      <c r="D115" s="1" t="n">
        <v>45911</v>
      </c>
      <c r="E115" s="1" t="n">
        <v>46324</v>
      </c>
      <c r="F115" t="inlineStr">
        <is>
          <t>ÖSTERGÖTLANDS LÄN</t>
        </is>
      </c>
      <c r="G115" t="inlineStr">
        <is>
          <t>BOXHOLM</t>
        </is>
      </c>
      <c r="I115" t="n">
        <v>2.5</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51625-2022</t>
        </is>
      </c>
      <c r="B116" t="inlineStr">
        <is>
          <t>avverkningsanmälan</t>
        </is>
      </c>
      <c r="C116" t="inlineStr">
        <is>
          <t>Föryngringsavverkning</t>
        </is>
      </c>
      <c r="D116" s="1" t="n">
        <v>44872</v>
      </c>
      <c r="E116" s="1" t="n">
        <v>46324</v>
      </c>
      <c r="F116" t="inlineStr">
        <is>
          <t>ÖSTERGÖTLANDS LÄN</t>
        </is>
      </c>
      <c r="G116" t="inlineStr">
        <is>
          <t>BOXHOLM</t>
        </is>
      </c>
      <c r="H116" t="inlineStr">
        <is>
          <t>Övriga Aktiebolag</t>
        </is>
      </c>
      <c r="I116" t="n">
        <v>1.7</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44706-2025</t>
        </is>
      </c>
      <c r="B117" t="inlineStr">
        <is>
          <t>avverkningsanmälan</t>
        </is>
      </c>
      <c r="C117" t="inlineStr">
        <is>
          <t>Föryngringsavverkning</t>
        </is>
      </c>
      <c r="D117" s="1" t="n">
        <v>45917</v>
      </c>
      <c r="E117" s="1" t="n">
        <v>46324</v>
      </c>
      <c r="F117" t="inlineStr">
        <is>
          <t>ÖSTERGÖTLANDS LÄN</t>
        </is>
      </c>
      <c r="G117" t="inlineStr">
        <is>
          <t>BOXHOLM</t>
        </is>
      </c>
      <c r="H117" t="inlineStr">
        <is>
          <t>Övriga Aktiebolag</t>
        </is>
      </c>
      <c r="I117" t="n">
        <v>0.6</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44696-2025</t>
        </is>
      </c>
      <c r="B118" t="inlineStr">
        <is>
          <t>avverkningsanmälan</t>
        </is>
      </c>
      <c r="C118" t="inlineStr">
        <is>
          <t>Föryngringsavverkning</t>
        </is>
      </c>
      <c r="D118" s="1" t="n">
        <v>45917</v>
      </c>
      <c r="E118" s="1" t="n">
        <v>46324</v>
      </c>
      <c r="F118" t="inlineStr">
        <is>
          <t>ÖSTERGÖTLANDS LÄN</t>
        </is>
      </c>
      <c r="G118" t="inlineStr">
        <is>
          <t>BOXHOLM</t>
        </is>
      </c>
      <c r="H118" t="inlineStr">
        <is>
          <t>Övriga Aktiebolag</t>
        </is>
      </c>
      <c r="I118" t="n">
        <v>1.8</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55181-2022</t>
        </is>
      </c>
      <c r="B119" t="inlineStr">
        <is>
          <t>avverkningsanmälan</t>
        </is>
      </c>
      <c r="C119" t="inlineStr">
        <is>
          <t>Föryngringsavverkning</t>
        </is>
      </c>
      <c r="D119" s="1" t="n">
        <v>44886</v>
      </c>
      <c r="E119" s="1" t="n">
        <v>46324</v>
      </c>
      <c r="F119" t="inlineStr">
        <is>
          <t>ÖSTERGÖTLANDS LÄN</t>
        </is>
      </c>
      <c r="G119" t="inlineStr">
        <is>
          <t>BOXHOLM</t>
        </is>
      </c>
      <c r="I119" t="n">
        <v>1.2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55183-2022</t>
        </is>
      </c>
      <c r="B120" t="inlineStr">
        <is>
          <t>avverkningsanmälan</t>
        </is>
      </c>
      <c r="C120" t="inlineStr">
        <is>
          <t>Föryngringsavverkning</t>
        </is>
      </c>
      <c r="D120" s="1" t="n">
        <v>44886</v>
      </c>
      <c r="E120" s="1" t="n">
        <v>46324</v>
      </c>
      <c r="F120" t="inlineStr">
        <is>
          <t>ÖSTERGÖTLANDS LÄN</t>
        </is>
      </c>
      <c r="G120" t="inlineStr">
        <is>
          <t>BOXHOLM</t>
        </is>
      </c>
      <c r="I120" t="n">
        <v>1.2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55252-2022</t>
        </is>
      </c>
      <c r="B121" t="inlineStr">
        <is>
          <t>avverkningsanmälan</t>
        </is>
      </c>
      <c r="C121" t="inlineStr">
        <is>
          <t>Föryngringsavverkning</t>
        </is>
      </c>
      <c r="D121" s="1" t="n">
        <v>44887</v>
      </c>
      <c r="E121" s="1" t="n">
        <v>46324</v>
      </c>
      <c r="F121" t="inlineStr">
        <is>
          <t>ÖSTERGÖTLANDS LÄN</t>
        </is>
      </c>
      <c r="G121" t="inlineStr">
        <is>
          <t>BOXHOLM</t>
        </is>
      </c>
      <c r="H121" t="inlineStr">
        <is>
          <t>Övriga Aktiebolag</t>
        </is>
      </c>
      <c r="I121" t="n">
        <v>3.8</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44658-2025</t>
        </is>
      </c>
      <c r="B122" t="inlineStr">
        <is>
          <t>avverkningsanmälan</t>
        </is>
      </c>
      <c r="C122" t="inlineStr">
        <is>
          <t>Avverkning för att bevara och utveckla /försöksver</t>
        </is>
      </c>
      <c r="D122" s="1" t="n">
        <v>45917</v>
      </c>
      <c r="E122" s="1" t="n">
        <v>46324</v>
      </c>
      <c r="F122" t="inlineStr">
        <is>
          <t>ÖSTERGÖTLANDS LÄN</t>
        </is>
      </c>
      <c r="G122" t="inlineStr">
        <is>
          <t>BOXHOLM</t>
        </is>
      </c>
      <c r="H122" t="inlineStr">
        <is>
          <t>Övriga Aktiebolag</t>
        </is>
      </c>
      <c r="I122" t="n">
        <v>1.4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44703-2025</t>
        </is>
      </c>
      <c r="B123" t="inlineStr">
        <is>
          <t>avverkningsanmälan</t>
        </is>
      </c>
      <c r="C123" t="inlineStr">
        <is>
          <t>Föryngringsavverkning</t>
        </is>
      </c>
      <c r="D123" s="1" t="n">
        <v>45917</v>
      </c>
      <c r="E123" s="1" t="n">
        <v>46324</v>
      </c>
      <c r="F123" t="inlineStr">
        <is>
          <t>ÖSTERGÖTLANDS LÄN</t>
        </is>
      </c>
      <c r="G123" t="inlineStr">
        <is>
          <t>BOXHOLM</t>
        </is>
      </c>
      <c r="H123" t="inlineStr">
        <is>
          <t>Övriga Aktiebolag</t>
        </is>
      </c>
      <c r="I123" t="n">
        <v>3.6</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19129-2025</t>
        </is>
      </c>
      <c r="B124" t="inlineStr">
        <is>
          <t>avverkningsanmälan</t>
        </is>
      </c>
      <c r="C124" t="inlineStr">
        <is>
          <t>Föryngringsavverkning</t>
        </is>
      </c>
      <c r="D124" s="1" t="n">
        <v>45769</v>
      </c>
      <c r="E124" s="1" t="n">
        <v>46324</v>
      </c>
      <c r="F124" t="inlineStr">
        <is>
          <t>ÖSTERGÖTLANDS LÄN</t>
        </is>
      </c>
      <c r="G124" t="inlineStr">
        <is>
          <t>BOXHOLM</t>
        </is>
      </c>
      <c r="H124" t="inlineStr">
        <is>
          <t>Övriga Aktiebolag</t>
        </is>
      </c>
      <c r="I124" t="n">
        <v>1.8</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45266-2025</t>
        </is>
      </c>
      <c r="B125" t="inlineStr">
        <is>
          <t>avverkningsanmälan</t>
        </is>
      </c>
      <c r="C125" t="inlineStr">
        <is>
          <t>Föryngringsavverkning</t>
        </is>
      </c>
      <c r="D125" s="1" t="n">
        <v>45919</v>
      </c>
      <c r="E125" s="1" t="n">
        <v>46324</v>
      </c>
      <c r="F125" t="inlineStr">
        <is>
          <t>ÖSTERGÖTLANDS LÄN</t>
        </is>
      </c>
      <c r="G125" t="inlineStr">
        <is>
          <t>BOXHOLM</t>
        </is>
      </c>
      <c r="I125" t="n">
        <v>3</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44803-2025</t>
        </is>
      </c>
      <c r="B126" t="inlineStr">
        <is>
          <t>avverkningsanmälan</t>
        </is>
      </c>
      <c r="C126" t="inlineStr">
        <is>
          <t>Föryngringsavverkning</t>
        </is>
      </c>
      <c r="D126" s="1" t="n">
        <v>45918</v>
      </c>
      <c r="E126" s="1" t="n">
        <v>46324</v>
      </c>
      <c r="F126" t="inlineStr">
        <is>
          <t>ÖSTERGÖTLANDS LÄN</t>
        </is>
      </c>
      <c r="G126" t="inlineStr">
        <is>
          <t>BOXHOLM</t>
        </is>
      </c>
      <c r="I126" t="n">
        <v>0.7</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65333-2021</t>
        </is>
      </c>
      <c r="B127" t="inlineStr">
        <is>
          <t>avverkningsanmälan</t>
        </is>
      </c>
      <c r="C127" t="inlineStr">
        <is>
          <t>Föryngringsavverkning</t>
        </is>
      </c>
      <c r="D127" s="1" t="n">
        <v>44515</v>
      </c>
      <c r="E127" s="1" t="n">
        <v>46324</v>
      </c>
      <c r="F127" t="inlineStr">
        <is>
          <t>ÖSTERGÖTLANDS LÄN</t>
        </is>
      </c>
      <c r="G127" t="inlineStr">
        <is>
          <t>BOXHOLM</t>
        </is>
      </c>
      <c r="I127" t="n">
        <v>2.4</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46200-2025</t>
        </is>
      </c>
      <c r="B128" t="inlineStr">
        <is>
          <t>avverkningsanmälan</t>
        </is>
      </c>
      <c r="C128" t="inlineStr">
        <is>
          <t>Föryngringsavverkning</t>
        </is>
      </c>
      <c r="D128" s="1" t="n">
        <v>45924</v>
      </c>
      <c r="E128" s="1" t="n">
        <v>46324</v>
      </c>
      <c r="F128" t="inlineStr">
        <is>
          <t>ÖSTERGÖTLANDS LÄN</t>
        </is>
      </c>
      <c r="G128" t="inlineStr">
        <is>
          <t>BOXHOLM</t>
        </is>
      </c>
      <c r="I128" t="n">
        <v>3.2</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57132-2024</t>
        </is>
      </c>
      <c r="B129" t="inlineStr">
        <is>
          <t>avverkningsanmälan</t>
        </is>
      </c>
      <c r="C129" t="inlineStr">
        <is>
          <t>Avverkning för att bevara och utveckla /försöksver</t>
        </is>
      </c>
      <c r="D129" s="1" t="n">
        <v>45629</v>
      </c>
      <c r="E129" s="1" t="n">
        <v>46324</v>
      </c>
      <c r="F129" t="inlineStr">
        <is>
          <t>ÖSTERGÖTLANDS LÄN</t>
        </is>
      </c>
      <c r="G129" t="inlineStr">
        <is>
          <t>BOXHOLM</t>
        </is>
      </c>
      <c r="H129" t="inlineStr">
        <is>
          <t>Övriga Aktiebolag</t>
        </is>
      </c>
      <c r="I129" t="n">
        <v>7</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46867-2025</t>
        </is>
      </c>
      <c r="B130" t="inlineStr">
        <is>
          <t>avverkningsanmälan</t>
        </is>
      </c>
      <c r="C130" t="inlineStr">
        <is>
          <t>Föryngringsavverkning</t>
        </is>
      </c>
      <c r="D130" s="1" t="n">
        <v>45929</v>
      </c>
      <c r="E130" s="1" t="n">
        <v>46324</v>
      </c>
      <c r="F130" t="inlineStr">
        <is>
          <t>ÖSTERGÖTLANDS LÄN</t>
        </is>
      </c>
      <c r="G130" t="inlineStr">
        <is>
          <t>BOXHOLM</t>
        </is>
      </c>
      <c r="I130" t="n">
        <v>2.4</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29612-2025</t>
        </is>
      </c>
      <c r="B131" t="inlineStr">
        <is>
          <t>avverkningsanmälan</t>
        </is>
      </c>
      <c r="C131" t="inlineStr">
        <is>
          <t>Föryngringsavverkning</t>
        </is>
      </c>
      <c r="D131" s="1" t="n">
        <v>45825</v>
      </c>
      <c r="E131" s="1" t="n">
        <v>46324</v>
      </c>
      <c r="F131" t="inlineStr">
        <is>
          <t>ÖSTERGÖTLANDS LÄN</t>
        </is>
      </c>
      <c r="G131" t="inlineStr">
        <is>
          <t>BOXHOLM</t>
        </is>
      </c>
      <c r="H131" t="inlineStr">
        <is>
          <t>Övriga Aktiebolag</t>
        </is>
      </c>
      <c r="I131" t="n">
        <v>2.8</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45859-2024</t>
        </is>
      </c>
      <c r="B132" t="inlineStr">
        <is>
          <t>avverkningsanmälan</t>
        </is>
      </c>
      <c r="C132" t="inlineStr">
        <is>
          <t>Föryngringsavverkning</t>
        </is>
      </c>
      <c r="D132" s="1" t="n">
        <v>45580</v>
      </c>
      <c r="E132" s="1" t="n">
        <v>46324</v>
      </c>
      <c r="F132" t="inlineStr">
        <is>
          <t>ÖSTERGÖTLANDS LÄN</t>
        </is>
      </c>
      <c r="G132" t="inlineStr">
        <is>
          <t>BOXHOLM</t>
        </is>
      </c>
      <c r="I132" t="n">
        <v>1.8</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35440-2025</t>
        </is>
      </c>
      <c r="B133" t="inlineStr">
        <is>
          <t>avverkningsanmälan</t>
        </is>
      </c>
      <c r="C133" t="inlineStr">
        <is>
          <t>Avverkning för annat ändamål</t>
        </is>
      </c>
      <c r="D133" s="1" t="n">
        <v>45855</v>
      </c>
      <c r="E133" s="1" t="n">
        <v>46324</v>
      </c>
      <c r="F133" t="inlineStr">
        <is>
          <t>ÖSTERGÖTLANDS LÄN</t>
        </is>
      </c>
      <c r="G133" t="inlineStr">
        <is>
          <t>BOXHOLM</t>
        </is>
      </c>
      <c r="I133" t="n">
        <v>0.4</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47446-2025</t>
        </is>
      </c>
      <c r="B134" t="inlineStr">
        <is>
          <t>avverkningsanmälan</t>
        </is>
      </c>
      <c r="C134" t="inlineStr">
        <is>
          <t>Föryngringsavverkning</t>
        </is>
      </c>
      <c r="D134" s="1" t="n">
        <v>45930</v>
      </c>
      <c r="E134" s="1" t="n">
        <v>46324</v>
      </c>
      <c r="F134" t="inlineStr">
        <is>
          <t>ÖSTERGÖTLANDS LÄN</t>
        </is>
      </c>
      <c r="G134" t="inlineStr">
        <is>
          <t>BOXHOLM</t>
        </is>
      </c>
      <c r="H134" t="inlineStr">
        <is>
          <t>Övriga Aktiebolag</t>
        </is>
      </c>
      <c r="I134" t="n">
        <v>4.1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35765-2025</t>
        </is>
      </c>
      <c r="B135" t="inlineStr">
        <is>
          <t>avverkningsanmälan</t>
        </is>
      </c>
      <c r="C135" t="inlineStr">
        <is>
          <t>Föryngringsavverkning</t>
        </is>
      </c>
      <c r="D135" s="1" t="n">
        <v>45860</v>
      </c>
      <c r="E135" s="1" t="n">
        <v>46324</v>
      </c>
      <c r="F135" t="inlineStr">
        <is>
          <t>ÖSTERGÖTLANDS LÄN</t>
        </is>
      </c>
      <c r="G135" t="inlineStr">
        <is>
          <t>BOXHOLM</t>
        </is>
      </c>
      <c r="I135" t="n">
        <v>0.8</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36177-2025</t>
        </is>
      </c>
      <c r="B136" t="inlineStr">
        <is>
          <t>avverkningsanmälan</t>
        </is>
      </c>
      <c r="C136" t="inlineStr">
        <is>
          <t>Avverkning för att bevara och utveckla /försöksver</t>
        </is>
      </c>
      <c r="D136" s="1" t="n">
        <v>45867</v>
      </c>
      <c r="E136" s="1" t="n">
        <v>46324</v>
      </c>
      <c r="F136" t="inlineStr">
        <is>
          <t>ÖSTERGÖTLANDS LÄN</t>
        </is>
      </c>
      <c r="G136" t="inlineStr">
        <is>
          <t>BOXHOLM</t>
        </is>
      </c>
      <c r="H136" t="inlineStr">
        <is>
          <t>Övriga Aktiebolag</t>
        </is>
      </c>
      <c r="I136" t="n">
        <v>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36175-2025</t>
        </is>
      </c>
      <c r="B137" t="inlineStr">
        <is>
          <t>avverkningsanmälan</t>
        </is>
      </c>
      <c r="C137" t="inlineStr">
        <is>
          <t>Föryngringsavverkning</t>
        </is>
      </c>
      <c r="D137" s="1" t="n">
        <v>45867</v>
      </c>
      <c r="E137" s="1" t="n">
        <v>46324</v>
      </c>
      <c r="F137" t="inlineStr">
        <is>
          <t>ÖSTERGÖTLANDS LÄN</t>
        </is>
      </c>
      <c r="G137" t="inlineStr">
        <is>
          <t>BOXHOLM</t>
        </is>
      </c>
      <c r="H137" t="inlineStr">
        <is>
          <t>Övriga Aktiebolag</t>
        </is>
      </c>
      <c r="I137" t="n">
        <v>0.9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36202-2025</t>
        </is>
      </c>
      <c r="B138" t="inlineStr">
        <is>
          <t>avverkningsanmälan</t>
        </is>
      </c>
      <c r="C138" t="inlineStr">
        <is>
          <t>Avverkning för att bevara och utveckla /försöksver</t>
        </is>
      </c>
      <c r="D138" s="1" t="n">
        <v>45867</v>
      </c>
      <c r="E138" s="1" t="n">
        <v>46324</v>
      </c>
      <c r="F138" t="inlineStr">
        <is>
          <t>ÖSTERGÖTLANDS LÄN</t>
        </is>
      </c>
      <c r="G138" t="inlineStr">
        <is>
          <t>BOXHOLM</t>
        </is>
      </c>
      <c r="H138" t="inlineStr">
        <is>
          <t>Övriga Aktiebolag</t>
        </is>
      </c>
      <c r="I138" t="n">
        <v>2.7</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36433-2025</t>
        </is>
      </c>
      <c r="B139" t="inlineStr">
        <is>
          <t>avverkningsanmälan</t>
        </is>
      </c>
      <c r="C139" t="inlineStr">
        <is>
          <t>Avverkning för att bevara och utveckla /försöksver</t>
        </is>
      </c>
      <c r="D139" s="1" t="n">
        <v>45869</v>
      </c>
      <c r="E139" s="1" t="n">
        <v>46324</v>
      </c>
      <c r="F139" t="inlineStr">
        <is>
          <t>ÖSTERGÖTLANDS LÄN</t>
        </is>
      </c>
      <c r="G139" t="inlineStr">
        <is>
          <t>BOXHOLM</t>
        </is>
      </c>
      <c r="H139" t="inlineStr">
        <is>
          <t>Övriga Aktiebolag</t>
        </is>
      </c>
      <c r="I139" t="n">
        <v>2.5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50239-2024</t>
        </is>
      </c>
      <c r="B140" t="inlineStr">
        <is>
          <t>avverkningsanmälan</t>
        </is>
      </c>
      <c r="C140" t="inlineStr">
        <is>
          <t>Avverkning för att bevara och utveckla /försöksver</t>
        </is>
      </c>
      <c r="D140" s="1" t="n">
        <v>45600</v>
      </c>
      <c r="E140" s="1" t="n">
        <v>46324</v>
      </c>
      <c r="F140" t="inlineStr">
        <is>
          <t>ÖSTERGÖTLANDS LÄN</t>
        </is>
      </c>
      <c r="G140" t="inlineStr">
        <is>
          <t>BOXHOLM</t>
        </is>
      </c>
      <c r="H140" t="inlineStr">
        <is>
          <t>Övriga Aktiebolag</t>
        </is>
      </c>
      <c r="I140" t="n">
        <v>1</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50251-2024</t>
        </is>
      </c>
      <c r="B141" t="inlineStr">
        <is>
          <t>avverkningsanmälan</t>
        </is>
      </c>
      <c r="C141" t="inlineStr">
        <is>
          <t>Avverkning för att bevara och utveckla /försöksver</t>
        </is>
      </c>
      <c r="D141" s="1" t="n">
        <v>45600</v>
      </c>
      <c r="E141" s="1" t="n">
        <v>46324</v>
      </c>
      <c r="F141" t="inlineStr">
        <is>
          <t>ÖSTERGÖTLANDS LÄN</t>
        </is>
      </c>
      <c r="G141" t="inlineStr">
        <is>
          <t>BOXHOLM</t>
        </is>
      </c>
      <c r="H141" t="inlineStr">
        <is>
          <t>Övriga Aktiebolag</t>
        </is>
      </c>
      <c r="I141" t="n">
        <v>1.1</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50082-2025</t>
        </is>
      </c>
      <c r="B142" t="inlineStr">
        <is>
          <t>avverkningsanmälan</t>
        </is>
      </c>
      <c r="C142" t="inlineStr">
        <is>
          <t>Avverkning för att bevara och utveckla /försöksver</t>
        </is>
      </c>
      <c r="D142" s="1" t="n">
        <v>45943</v>
      </c>
      <c r="E142" s="1" t="n">
        <v>46324</v>
      </c>
      <c r="F142" t="inlineStr">
        <is>
          <t>ÖSTERGÖTLANDS LÄN</t>
        </is>
      </c>
      <c r="G142" t="inlineStr">
        <is>
          <t>BOXHOLM</t>
        </is>
      </c>
      <c r="H142" t="inlineStr">
        <is>
          <t>Övriga Aktiebolag</t>
        </is>
      </c>
      <c r="I142" t="n">
        <v>0.6</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50164-2025</t>
        </is>
      </c>
      <c r="B143" t="inlineStr">
        <is>
          <t>avverkningsanmälan</t>
        </is>
      </c>
      <c r="C143" t="inlineStr">
        <is>
          <t>Föryngringsavverkning</t>
        </is>
      </c>
      <c r="D143" s="1" t="n">
        <v>45943</v>
      </c>
      <c r="E143" s="1" t="n">
        <v>46324</v>
      </c>
      <c r="F143" t="inlineStr">
        <is>
          <t>ÖSTERGÖTLANDS LÄN</t>
        </is>
      </c>
      <c r="G143" t="inlineStr">
        <is>
          <t>BOXHOLM</t>
        </is>
      </c>
      <c r="H143" t="inlineStr">
        <is>
          <t>Övriga Aktiebolag</t>
        </is>
      </c>
      <c r="I143" t="n">
        <v>2.7</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72283-2021</t>
        </is>
      </c>
      <c r="B144" t="inlineStr">
        <is>
          <t>avverkningsanmälan</t>
        </is>
      </c>
      <c r="C144" t="inlineStr">
        <is>
          <t>Föryngringsavverkning</t>
        </is>
      </c>
      <c r="D144" s="1" t="n">
        <v>44545</v>
      </c>
      <c r="E144" s="1" t="n">
        <v>46324</v>
      </c>
      <c r="F144" t="inlineStr">
        <is>
          <t>ÖSTERGÖTLANDS LÄN</t>
        </is>
      </c>
      <c r="G144" t="inlineStr">
        <is>
          <t>BOXHOLM</t>
        </is>
      </c>
      <c r="I144" t="n">
        <v>1</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50019-2025</t>
        </is>
      </c>
      <c r="B145" t="inlineStr">
        <is>
          <t>avverkningsanmälan</t>
        </is>
      </c>
      <c r="C145" t="inlineStr">
        <is>
          <t>Föryngringsavverkning</t>
        </is>
      </c>
      <c r="D145" s="1" t="n">
        <v>45943</v>
      </c>
      <c r="E145" s="1" t="n">
        <v>46324</v>
      </c>
      <c r="F145" t="inlineStr">
        <is>
          <t>ÖSTERGÖTLANDS LÄN</t>
        </is>
      </c>
      <c r="G145" t="inlineStr">
        <is>
          <t>BOXHOLM</t>
        </is>
      </c>
      <c r="H145" t="inlineStr">
        <is>
          <t>Övriga Aktiebolag</t>
        </is>
      </c>
      <c r="I145" t="n">
        <v>0.9</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50095-2025</t>
        </is>
      </c>
      <c r="B146" t="inlineStr">
        <is>
          <t>avverkningsanmälan</t>
        </is>
      </c>
      <c r="C146" t="inlineStr">
        <is>
          <t>Föryngringsavverkning</t>
        </is>
      </c>
      <c r="D146" s="1" t="n">
        <v>45943</v>
      </c>
      <c r="E146" s="1" t="n">
        <v>46324</v>
      </c>
      <c r="F146" t="inlineStr">
        <is>
          <t>ÖSTERGÖTLANDS LÄN</t>
        </is>
      </c>
      <c r="G146" t="inlineStr">
        <is>
          <t>BOXHOLM</t>
        </is>
      </c>
      <c r="H146" t="inlineStr">
        <is>
          <t>Övriga Aktiebolag</t>
        </is>
      </c>
      <c r="I146" t="n">
        <v>0.6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51708-2023</t>
        </is>
      </c>
      <c r="B147" t="inlineStr">
        <is>
          <t>avverkningsanmälan</t>
        </is>
      </c>
      <c r="C147" t="inlineStr">
        <is>
          <t>Föryngringsavverkning</t>
        </is>
      </c>
      <c r="D147" s="1" t="n">
        <v>45222</v>
      </c>
      <c r="E147" s="1" t="n">
        <v>46324</v>
      </c>
      <c r="F147" t="inlineStr">
        <is>
          <t>ÖSTERGÖTLANDS LÄN</t>
        </is>
      </c>
      <c r="G147" t="inlineStr">
        <is>
          <t>BOXHOLM</t>
        </is>
      </c>
      <c r="H147" t="inlineStr">
        <is>
          <t>Allmännings- och besparingsskogar</t>
        </is>
      </c>
      <c r="I147" t="n">
        <v>24.2</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50612-2025</t>
        </is>
      </c>
      <c r="B148" t="inlineStr">
        <is>
          <t>avverkningsanmälan</t>
        </is>
      </c>
      <c r="C148" t="inlineStr">
        <is>
          <t>Föryngringsavverkning</t>
        </is>
      </c>
      <c r="D148" s="1" t="n">
        <v>45945</v>
      </c>
      <c r="E148" s="1" t="n">
        <v>46324</v>
      </c>
      <c r="F148" t="inlineStr">
        <is>
          <t>ÖSTERGÖTLANDS LÄN</t>
        </is>
      </c>
      <c r="G148" t="inlineStr">
        <is>
          <t>BOXHOLM</t>
        </is>
      </c>
      <c r="I148" t="n">
        <v>0.7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51091-2025</t>
        </is>
      </c>
      <c r="B149" t="inlineStr">
        <is>
          <t>avverkningsanmälan</t>
        </is>
      </c>
      <c r="C149" t="inlineStr">
        <is>
          <t>Föryngringsavverkning</t>
        </is>
      </c>
      <c r="D149" s="1" t="n">
        <v>45947</v>
      </c>
      <c r="E149" s="1" t="n">
        <v>46324</v>
      </c>
      <c r="F149" t="inlineStr">
        <is>
          <t>ÖSTERGÖTLANDS LÄN</t>
        </is>
      </c>
      <c r="G149" t="inlineStr">
        <is>
          <t>BOXHOLM</t>
        </is>
      </c>
      <c r="H149" t="inlineStr">
        <is>
          <t>Övriga Aktiebolag</t>
        </is>
      </c>
      <c r="I149" t="n">
        <v>1.8</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25279-2024</t>
        </is>
      </c>
      <c r="B150" t="inlineStr">
        <is>
          <t>avverkningsanmälan</t>
        </is>
      </c>
      <c r="C150" t="inlineStr">
        <is>
          <t>Avverkning för att bevara och utveckla /försöksver</t>
        </is>
      </c>
      <c r="D150" s="1" t="n">
        <v>45462</v>
      </c>
      <c r="E150" s="1" t="n">
        <v>46324</v>
      </c>
      <c r="F150" t="inlineStr">
        <is>
          <t>ÖSTERGÖTLANDS LÄN</t>
        </is>
      </c>
      <c r="G150" t="inlineStr">
        <is>
          <t>BOXHOLM</t>
        </is>
      </c>
      <c r="H150" t="inlineStr">
        <is>
          <t>Övriga Aktiebolag</t>
        </is>
      </c>
      <c r="I150" t="n">
        <v>2.2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35762-2025</t>
        </is>
      </c>
      <c r="B151" t="inlineStr">
        <is>
          <t>avverkningsanmälan</t>
        </is>
      </c>
      <c r="C151" t="inlineStr">
        <is>
          <t>Föryngringsavverkning</t>
        </is>
      </c>
      <c r="D151" s="1" t="n">
        <v>45860</v>
      </c>
      <c r="E151" s="1" t="n">
        <v>46324</v>
      </c>
      <c r="F151" t="inlineStr">
        <is>
          <t>ÖSTERGÖTLANDS LÄN</t>
        </is>
      </c>
      <c r="G151" t="inlineStr">
        <is>
          <t>BOXHOLM</t>
        </is>
      </c>
      <c r="I151" t="n">
        <v>4.5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35764-2025</t>
        </is>
      </c>
      <c r="B152" t="inlineStr">
        <is>
          <t>avverkningsanmälan</t>
        </is>
      </c>
      <c r="C152" t="inlineStr">
        <is>
          <t>Föryngringsavverkning</t>
        </is>
      </c>
      <c r="D152" s="1" t="n">
        <v>45860</v>
      </c>
      <c r="E152" s="1" t="n">
        <v>46324</v>
      </c>
      <c r="F152" t="inlineStr">
        <is>
          <t>ÖSTERGÖTLANDS LÄN</t>
        </is>
      </c>
      <c r="G152" t="inlineStr">
        <is>
          <t>BOXHOLM</t>
        </is>
      </c>
      <c r="I152" t="n">
        <v>1.5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35763-2025</t>
        </is>
      </c>
      <c r="B153" t="inlineStr">
        <is>
          <t>avverkningsanmälan</t>
        </is>
      </c>
      <c r="C153" t="inlineStr">
        <is>
          <t>Föryngringsavverkning</t>
        </is>
      </c>
      <c r="D153" s="1" t="n">
        <v>45860</v>
      </c>
      <c r="E153" s="1" t="n">
        <v>46324</v>
      </c>
      <c r="F153" t="inlineStr">
        <is>
          <t>ÖSTERGÖTLANDS LÄN</t>
        </is>
      </c>
      <c r="G153" t="inlineStr">
        <is>
          <t>BOXHOLM</t>
        </is>
      </c>
      <c r="I153" t="n">
        <v>3.2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31673-2023</t>
        </is>
      </c>
      <c r="B154" t="inlineStr">
        <is>
          <t>avverkningsanmälan</t>
        </is>
      </c>
      <c r="C154" t="inlineStr">
        <is>
          <t>Avverkning för att bevara och utveckla /försöksver</t>
        </is>
      </c>
      <c r="D154" s="1" t="n">
        <v>45117</v>
      </c>
      <c r="E154" s="1" t="n">
        <v>46324</v>
      </c>
      <c r="F154" t="inlineStr">
        <is>
          <t>ÖSTERGÖTLANDS LÄN</t>
        </is>
      </c>
      <c r="G154" t="inlineStr">
        <is>
          <t>BOXHOLM</t>
        </is>
      </c>
      <c r="H154" t="inlineStr">
        <is>
          <t>Övriga Aktiebolag</t>
        </is>
      </c>
      <c r="I154" t="n">
        <v>4.6</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23834-2023</t>
        </is>
      </c>
      <c r="B155" t="inlineStr">
        <is>
          <t>avverkningsanmälan</t>
        </is>
      </c>
      <c r="C155" t="inlineStr">
        <is>
          <t>Föryngringsavverkning</t>
        </is>
      </c>
      <c r="D155" s="1" t="n">
        <v>45078</v>
      </c>
      <c r="E155" s="1" t="n">
        <v>46324</v>
      </c>
      <c r="F155" t="inlineStr">
        <is>
          <t>ÖSTERGÖTLANDS LÄN</t>
        </is>
      </c>
      <c r="G155" t="inlineStr">
        <is>
          <t>BOXHOLM</t>
        </is>
      </c>
      <c r="I155" t="n">
        <v>1.6</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52551-2025</t>
        </is>
      </c>
      <c r="B156" t="inlineStr">
        <is>
          <t>avverkningsanmälan</t>
        </is>
      </c>
      <c r="C156" t="inlineStr">
        <is>
          <t>Avverkning för att bevara och utveckla /försöksver</t>
        </is>
      </c>
      <c r="D156" s="1" t="n">
        <v>45954</v>
      </c>
      <c r="E156" s="1" t="n">
        <v>46324</v>
      </c>
      <c r="F156" t="inlineStr">
        <is>
          <t>ÖSTERGÖTLANDS LÄN</t>
        </is>
      </c>
      <c r="G156" t="inlineStr">
        <is>
          <t>BOXHOLM</t>
        </is>
      </c>
      <c r="H156" t="inlineStr">
        <is>
          <t>Övriga Aktiebolag</t>
        </is>
      </c>
      <c r="I156" t="n">
        <v>1.2</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47978-2023</t>
        </is>
      </c>
      <c r="B157" t="inlineStr">
        <is>
          <t>avverkningsanmälan</t>
        </is>
      </c>
      <c r="C157" t="inlineStr">
        <is>
          <t>Föryngringsavverkning</t>
        </is>
      </c>
      <c r="D157" s="1" t="n">
        <v>45204</v>
      </c>
      <c r="E157" s="1" t="n">
        <v>46324</v>
      </c>
      <c r="F157" t="inlineStr">
        <is>
          <t>ÖSTERGÖTLANDS LÄN</t>
        </is>
      </c>
      <c r="G157" t="inlineStr">
        <is>
          <t>BOXHOLM</t>
        </is>
      </c>
      <c r="I157" t="n">
        <v>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48373-2022</t>
        </is>
      </c>
      <c r="B158" t="inlineStr">
        <is>
          <t>avverkningsanmälan</t>
        </is>
      </c>
      <c r="C158" t="inlineStr">
        <is>
          <t>Föryngringsavverkning</t>
        </is>
      </c>
      <c r="D158" s="1" t="n">
        <v>44858</v>
      </c>
      <c r="E158" s="1" t="n">
        <v>46324</v>
      </c>
      <c r="F158" t="inlineStr">
        <is>
          <t>ÖSTERGÖTLANDS LÄN</t>
        </is>
      </c>
      <c r="G158" t="inlineStr">
        <is>
          <t>BOXHOLM</t>
        </is>
      </c>
      <c r="H158" t="inlineStr">
        <is>
          <t>Övriga Aktiebolag</t>
        </is>
      </c>
      <c r="I158" t="n">
        <v>1</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13993-2022</t>
        </is>
      </c>
      <c r="B159" t="inlineStr">
        <is>
          <t>avverkningsanmälan</t>
        </is>
      </c>
      <c r="C159" t="inlineStr">
        <is>
          <t>Föryngringsavverkning</t>
        </is>
      </c>
      <c r="D159" s="1" t="n">
        <v>44650</v>
      </c>
      <c r="E159" s="1" t="n">
        <v>46324</v>
      </c>
      <c r="F159" t="inlineStr">
        <is>
          <t>ÖSTERGÖTLANDS LÄN</t>
        </is>
      </c>
      <c r="G159" t="inlineStr">
        <is>
          <t>BOXHOLM</t>
        </is>
      </c>
      <c r="I159" t="n">
        <v>2.5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52514-2025</t>
        </is>
      </c>
      <c r="B160" t="inlineStr">
        <is>
          <t>avverkningsanmälan</t>
        </is>
      </c>
      <c r="C160" t="inlineStr">
        <is>
          <t>Föryngringsavverkning</t>
        </is>
      </c>
      <c r="D160" s="1" t="n">
        <v>45954</v>
      </c>
      <c r="E160" s="1" t="n">
        <v>46324</v>
      </c>
      <c r="F160" t="inlineStr">
        <is>
          <t>ÖSTERGÖTLANDS LÄN</t>
        </is>
      </c>
      <c r="G160" t="inlineStr">
        <is>
          <t>BOXHOLM</t>
        </is>
      </c>
      <c r="H160" t="inlineStr">
        <is>
          <t>Övriga Aktiebolag</t>
        </is>
      </c>
      <c r="I160" t="n">
        <v>2</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37551-2025</t>
        </is>
      </c>
      <c r="B161" t="inlineStr">
        <is>
          <t>avverkningsanmälan</t>
        </is>
      </c>
      <c r="C161" t="inlineStr">
        <is>
          <t>Föryngringsavverkning</t>
        </is>
      </c>
      <c r="D161" s="1" t="n">
        <v>45880</v>
      </c>
      <c r="E161" s="1" t="n">
        <v>46324</v>
      </c>
      <c r="F161" t="inlineStr">
        <is>
          <t>ÖSTERGÖTLANDS LÄN</t>
        </is>
      </c>
      <c r="G161" t="inlineStr">
        <is>
          <t>BOXHOLM</t>
        </is>
      </c>
      <c r="H161" t="inlineStr">
        <is>
          <t>Övriga Aktiebolag</t>
        </is>
      </c>
      <c r="I161" t="n">
        <v>0.9</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37477-2025</t>
        </is>
      </c>
      <c r="B162" t="inlineStr">
        <is>
          <t>avverkningsanmälan</t>
        </is>
      </c>
      <c r="C162" t="inlineStr">
        <is>
          <t>Avverkning för att bevara och utveckla /försöksver</t>
        </is>
      </c>
      <c r="D162" s="1" t="n">
        <v>45877</v>
      </c>
      <c r="E162" s="1" t="n">
        <v>46324</v>
      </c>
      <c r="F162" t="inlineStr">
        <is>
          <t>ÖSTERGÖTLANDS LÄN</t>
        </is>
      </c>
      <c r="G162" t="inlineStr">
        <is>
          <t>BOXHOLM</t>
        </is>
      </c>
      <c r="H162" t="inlineStr">
        <is>
          <t>Övriga Aktiebolag</t>
        </is>
      </c>
      <c r="I162" t="n">
        <v>1.2</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37474-2025</t>
        </is>
      </c>
      <c r="B163" t="inlineStr">
        <is>
          <t>avverkningsanmälan</t>
        </is>
      </c>
      <c r="C163" t="inlineStr">
        <is>
          <t>Föryngringsavverkning</t>
        </is>
      </c>
      <c r="D163" s="1" t="n">
        <v>45877</v>
      </c>
      <c r="E163" s="1" t="n">
        <v>46324</v>
      </c>
      <c r="F163" t="inlineStr">
        <is>
          <t>ÖSTERGÖTLANDS LÄN</t>
        </is>
      </c>
      <c r="G163" t="inlineStr">
        <is>
          <t>BOXHOLM</t>
        </is>
      </c>
      <c r="H163" t="inlineStr">
        <is>
          <t>Övriga Aktiebolag</t>
        </is>
      </c>
      <c r="I163" t="n">
        <v>3.1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54547-2025</t>
        </is>
      </c>
      <c r="B164" t="inlineStr">
        <is>
          <t>avverkningsanmälan</t>
        </is>
      </c>
      <c r="C164" t="inlineStr">
        <is>
          <t>Föryngringsavverkning</t>
        </is>
      </c>
      <c r="D164" s="1" t="n">
        <v>45965</v>
      </c>
      <c r="E164" s="1" t="n">
        <v>46324</v>
      </c>
      <c r="F164" t="inlineStr">
        <is>
          <t>ÖSTERGÖTLANDS LÄN</t>
        </is>
      </c>
      <c r="G164" t="inlineStr">
        <is>
          <t>BOXHOLM</t>
        </is>
      </c>
      <c r="I164" t="n">
        <v>0.7</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54540-2025</t>
        </is>
      </c>
      <c r="B165" t="inlineStr">
        <is>
          <t>avverkningsanmälan</t>
        </is>
      </c>
      <c r="C165" t="inlineStr">
        <is>
          <t>Föryngringsavverkning</t>
        </is>
      </c>
      <c r="D165" s="1" t="n">
        <v>45965</v>
      </c>
      <c r="E165" s="1" t="n">
        <v>46324</v>
      </c>
      <c r="F165" t="inlineStr">
        <is>
          <t>ÖSTERGÖTLANDS LÄN</t>
        </is>
      </c>
      <c r="G165" t="inlineStr">
        <is>
          <t>BOXHOLM</t>
        </is>
      </c>
      <c r="I165" t="n">
        <v>0.5</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42383-2022</t>
        </is>
      </c>
      <c r="B166" t="inlineStr">
        <is>
          <t>avverkningsanmälan</t>
        </is>
      </c>
      <c r="C166" t="inlineStr">
        <is>
          <t>Föryngringsavverkning</t>
        </is>
      </c>
      <c r="D166" s="1" t="n">
        <v>44831</v>
      </c>
      <c r="E166" s="1" t="n">
        <v>46324</v>
      </c>
      <c r="F166" t="inlineStr">
        <is>
          <t>ÖSTERGÖTLANDS LÄN</t>
        </is>
      </c>
      <c r="G166" t="inlineStr">
        <is>
          <t>BOXHOLM</t>
        </is>
      </c>
      <c r="H166" t="inlineStr">
        <is>
          <t>Övriga Aktiebolag</t>
        </is>
      </c>
      <c r="I166" t="n">
        <v>3.1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21119-2026</t>
        </is>
      </c>
      <c r="B167" t="inlineStr">
        <is>
          <t>avverkningsanmälan</t>
        </is>
      </c>
      <c r="C167" t="inlineStr">
        <is>
          <t>Föryngringsavverkning</t>
        </is>
      </c>
      <c r="D167" s="1" t="n">
        <v>46146</v>
      </c>
      <c r="E167" s="1" t="n">
        <v>46324</v>
      </c>
      <c r="F167" t="inlineStr">
        <is>
          <t>ÖSTERGÖTLANDS LÄN</t>
        </is>
      </c>
      <c r="G167" t="inlineStr">
        <is>
          <t>BOXHOLM</t>
        </is>
      </c>
      <c r="I167" t="n">
        <v>0.7</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21969-2026</t>
        </is>
      </c>
      <c r="B168" t="inlineStr">
        <is>
          <t>avverkningsanmälan</t>
        </is>
      </c>
      <c r="C168" t="inlineStr">
        <is>
          <t>Föryngringsavverkning</t>
        </is>
      </c>
      <c r="D168" s="1" t="n">
        <v>46152</v>
      </c>
      <c r="E168" s="1" t="n">
        <v>46324</v>
      </c>
      <c r="F168" t="inlineStr">
        <is>
          <t>ÖSTERGÖTLANDS LÄN</t>
        </is>
      </c>
      <c r="G168" t="inlineStr">
        <is>
          <t>BOXHOLM</t>
        </is>
      </c>
      <c r="I168" t="n">
        <v>3.4</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15516-2025</t>
        </is>
      </c>
      <c r="B169" t="inlineStr">
        <is>
          <t>avverkningsanmälan</t>
        </is>
      </c>
      <c r="C169" t="inlineStr">
        <is>
          <t>Föryngringsavverkning</t>
        </is>
      </c>
      <c r="D169" s="1" t="n">
        <v>45747</v>
      </c>
      <c r="E169" s="1" t="n">
        <v>46324</v>
      </c>
      <c r="F169" t="inlineStr">
        <is>
          <t>ÖSTERGÖTLANDS LÄN</t>
        </is>
      </c>
      <c r="G169" t="inlineStr">
        <is>
          <t>BOXHOLM</t>
        </is>
      </c>
      <c r="H169" t="inlineStr">
        <is>
          <t>Övriga Aktiebolag</t>
        </is>
      </c>
      <c r="I169" t="n">
        <v>2.5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57606-2025</t>
        </is>
      </c>
      <c r="B170" t="inlineStr">
        <is>
          <t>avverkningsanmälan</t>
        </is>
      </c>
      <c r="C170" t="inlineStr">
        <is>
          <t>Föryngringsavverkning</t>
        </is>
      </c>
      <c r="D170" s="1" t="n">
        <v>45981</v>
      </c>
      <c r="E170" s="1" t="n">
        <v>46324</v>
      </c>
      <c r="F170" t="inlineStr">
        <is>
          <t>ÖSTERGÖTLANDS LÄN</t>
        </is>
      </c>
      <c r="G170" t="inlineStr">
        <is>
          <t>BOXHOLM</t>
        </is>
      </c>
      <c r="I170" t="n">
        <v>0.6</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52964-2023</t>
        </is>
      </c>
      <c r="B171" t="inlineStr">
        <is>
          <t>avverkningsanmälan</t>
        </is>
      </c>
      <c r="C171" t="inlineStr">
        <is>
          <t>Föryngringsavverkning</t>
        </is>
      </c>
      <c r="D171" s="1" t="n">
        <v>45226</v>
      </c>
      <c r="E171" s="1" t="n">
        <v>46324</v>
      </c>
      <c r="F171" t="inlineStr">
        <is>
          <t>ÖSTERGÖTLANDS LÄN</t>
        </is>
      </c>
      <c r="G171" t="inlineStr">
        <is>
          <t>BOXHOLM</t>
        </is>
      </c>
      <c r="I171" t="n">
        <v>2.8</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27816-2025</t>
        </is>
      </c>
      <c r="B172" t="inlineStr">
        <is>
          <t>avverkningsanmälan</t>
        </is>
      </c>
      <c r="C172" t="inlineStr">
        <is>
          <t>Avverkning för annat ändamål</t>
        </is>
      </c>
      <c r="D172" s="1" t="n">
        <v>45817</v>
      </c>
      <c r="E172" s="1" t="n">
        <v>46324</v>
      </c>
      <c r="F172" t="inlineStr">
        <is>
          <t>ÖSTERGÖTLANDS LÄN</t>
        </is>
      </c>
      <c r="G172" t="inlineStr">
        <is>
          <t>BOXHOLM</t>
        </is>
      </c>
      <c r="I172" t="n">
        <v>1.5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53316-2024</t>
        </is>
      </c>
      <c r="B173" t="inlineStr">
        <is>
          <t>avverkningsanmälan</t>
        </is>
      </c>
      <c r="C173" t="inlineStr">
        <is>
          <t>Föryngringsavverkning</t>
        </is>
      </c>
      <c r="D173" s="1" t="n">
        <v>45614</v>
      </c>
      <c r="E173" s="1" t="n">
        <v>46324</v>
      </c>
      <c r="F173" t="inlineStr">
        <is>
          <t>ÖSTERGÖTLANDS LÄN</t>
        </is>
      </c>
      <c r="G173" t="inlineStr">
        <is>
          <t>BOXHOLM</t>
        </is>
      </c>
      <c r="H173" t="inlineStr">
        <is>
          <t>Övriga Aktiebolag</t>
        </is>
      </c>
      <c r="I173" t="n">
        <v>1.8</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58760-2025</t>
        </is>
      </c>
      <c r="B174" t="inlineStr">
        <is>
          <t>avverkningsanmälan</t>
        </is>
      </c>
      <c r="C174" t="inlineStr">
        <is>
          <t>Avverkning för att bevara och utveckla /försöksver</t>
        </is>
      </c>
      <c r="D174" s="1" t="n">
        <v>45986</v>
      </c>
      <c r="E174" s="1" t="n">
        <v>46324</v>
      </c>
      <c r="F174" t="inlineStr">
        <is>
          <t>ÖSTERGÖTLANDS LÄN</t>
        </is>
      </c>
      <c r="G174" t="inlineStr">
        <is>
          <t>BOXHOLM</t>
        </is>
      </c>
      <c r="H174" t="inlineStr">
        <is>
          <t>Övriga Aktiebolag</t>
        </is>
      </c>
      <c r="I174" t="n">
        <v>1.8</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58763-2025</t>
        </is>
      </c>
      <c r="B175" t="inlineStr">
        <is>
          <t>avverkningsanmälan</t>
        </is>
      </c>
      <c r="C175" t="inlineStr">
        <is>
          <t>Avverkning för att bevara och utveckla /försöksver</t>
        </is>
      </c>
      <c r="D175" s="1" t="n">
        <v>45986</v>
      </c>
      <c r="E175" s="1" t="n">
        <v>46324</v>
      </c>
      <c r="F175" t="inlineStr">
        <is>
          <t>ÖSTERGÖTLANDS LÄN</t>
        </is>
      </c>
      <c r="G175" t="inlineStr">
        <is>
          <t>BOXHOLM</t>
        </is>
      </c>
      <c r="H175" t="inlineStr">
        <is>
          <t>Övriga Aktiebolag</t>
        </is>
      </c>
      <c r="I175" t="n">
        <v>1.8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59485-2025</t>
        </is>
      </c>
      <c r="B176" t="inlineStr">
        <is>
          <t>avverkningsanmälan</t>
        </is>
      </c>
      <c r="C176" t="inlineStr">
        <is>
          <t>Föryngringsavverkning</t>
        </is>
      </c>
      <c r="D176" s="1" t="n">
        <v>45989</v>
      </c>
      <c r="E176" s="1" t="n">
        <v>46324</v>
      </c>
      <c r="F176" t="inlineStr">
        <is>
          <t>ÖSTERGÖTLANDS LÄN</t>
        </is>
      </c>
      <c r="G176" t="inlineStr">
        <is>
          <t>BOXHOLM</t>
        </is>
      </c>
      <c r="H176" t="inlineStr">
        <is>
          <t>Övriga Aktiebolag</t>
        </is>
      </c>
      <c r="I176" t="n">
        <v>1.1</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59490-2025</t>
        </is>
      </c>
      <c r="B177" t="inlineStr">
        <is>
          <t>avverkningsanmälan</t>
        </is>
      </c>
      <c r="C177" t="inlineStr">
        <is>
          <t>Föryngringsavverkning</t>
        </is>
      </c>
      <c r="D177" s="1" t="n">
        <v>45989</v>
      </c>
      <c r="E177" s="1" t="n">
        <v>46324</v>
      </c>
      <c r="F177" t="inlineStr">
        <is>
          <t>ÖSTERGÖTLANDS LÄN</t>
        </is>
      </c>
      <c r="G177" t="inlineStr">
        <is>
          <t>BOXHOLM</t>
        </is>
      </c>
      <c r="H177" t="inlineStr">
        <is>
          <t>Övriga Aktiebolag</t>
        </is>
      </c>
      <c r="I177" t="n">
        <v>2.2</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11850-2026</t>
        </is>
      </c>
      <c r="B178" t="inlineStr">
        <is>
          <t>avverkningsanmälan</t>
        </is>
      </c>
      <c r="C178" t="inlineStr">
        <is>
          <t>Avverkning för annat ändamål</t>
        </is>
      </c>
      <c r="D178" s="1" t="n">
        <v>46085</v>
      </c>
      <c r="E178" s="1" t="n">
        <v>46324</v>
      </c>
      <c r="F178" t="inlineStr">
        <is>
          <t>ÖSTERGÖTLANDS LÄN</t>
        </is>
      </c>
      <c r="G178" t="inlineStr">
        <is>
          <t>BOXHOLM</t>
        </is>
      </c>
      <c r="I178" t="n">
        <v>1.3</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15526-2023</t>
        </is>
      </c>
      <c r="B179" t="inlineStr">
        <is>
          <t>avverkningsanmälan</t>
        </is>
      </c>
      <c r="C179" t="inlineStr">
        <is>
          <t>Föryngringsavverkning</t>
        </is>
      </c>
      <c r="D179" s="1" t="n">
        <v>45020</v>
      </c>
      <c r="E179" s="1" t="n">
        <v>46324</v>
      </c>
      <c r="F179" t="inlineStr">
        <is>
          <t>ÖSTERGÖTLANDS LÄN</t>
        </is>
      </c>
      <c r="G179" t="inlineStr">
        <is>
          <t>BOXHOLM</t>
        </is>
      </c>
      <c r="I179" t="n">
        <v>1</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60521-2025</t>
        </is>
      </c>
      <c r="B180" t="inlineStr">
        <is>
          <t>avverkningsanmälan</t>
        </is>
      </c>
      <c r="C180" t="inlineStr">
        <is>
          <t>Föryngringsavverkning</t>
        </is>
      </c>
      <c r="D180" s="1" t="n">
        <v>45995</v>
      </c>
      <c r="E180" s="1" t="n">
        <v>46324</v>
      </c>
      <c r="F180" t="inlineStr">
        <is>
          <t>ÖSTERGÖTLANDS LÄN</t>
        </is>
      </c>
      <c r="G180" t="inlineStr">
        <is>
          <t>BOXHOLM</t>
        </is>
      </c>
      <c r="H180" t="inlineStr">
        <is>
          <t>Allmännings- och besparingsskogar</t>
        </is>
      </c>
      <c r="I180" t="n">
        <v>9</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23831-2026</t>
        </is>
      </c>
      <c r="B181" t="inlineStr">
        <is>
          <t>avverkningsanmälan</t>
        </is>
      </c>
      <c r="C181" t="inlineStr">
        <is>
          <t>Föryngringsavverkning</t>
        </is>
      </c>
      <c r="D181" s="1" t="n">
        <v>46167</v>
      </c>
      <c r="E181" s="1" t="n">
        <v>46324</v>
      </c>
      <c r="F181" t="inlineStr">
        <is>
          <t>ÖSTERGÖTLANDS LÄN</t>
        </is>
      </c>
      <c r="G181" t="inlineStr">
        <is>
          <t>BOXHOLM</t>
        </is>
      </c>
      <c r="H181" t="inlineStr">
        <is>
          <t>Övriga Aktiebolag</t>
        </is>
      </c>
      <c r="I181" t="n">
        <v>1.9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26648-2025</t>
        </is>
      </c>
      <c r="B182" t="inlineStr">
        <is>
          <t>avverkningsanmälan</t>
        </is>
      </c>
      <c r="C182" t="inlineStr">
        <is>
          <t>Föryngringsavverkning</t>
        </is>
      </c>
      <c r="D182" s="1" t="n">
        <v>45809</v>
      </c>
      <c r="E182" s="1" t="n">
        <v>46324</v>
      </c>
      <c r="F182" t="inlineStr">
        <is>
          <t>ÖSTERGÖTLANDS LÄN</t>
        </is>
      </c>
      <c r="G182" t="inlineStr">
        <is>
          <t>BOXHOLM</t>
        </is>
      </c>
      <c r="I182" t="n">
        <v>1.5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60638-2025</t>
        </is>
      </c>
      <c r="B183" t="inlineStr">
        <is>
          <t>avverkningsanmälan</t>
        </is>
      </c>
      <c r="C183" t="inlineStr">
        <is>
          <t>Avverkning för att bevara och utveckla /försöksver</t>
        </is>
      </c>
      <c r="D183" s="1" t="n">
        <v>45996</v>
      </c>
      <c r="E183" s="1" t="n">
        <v>46324</v>
      </c>
      <c r="F183" t="inlineStr">
        <is>
          <t>ÖSTERGÖTLANDS LÄN</t>
        </is>
      </c>
      <c r="G183" t="inlineStr">
        <is>
          <t>BOXHOLM</t>
        </is>
      </c>
      <c r="H183" t="inlineStr">
        <is>
          <t>Övriga Aktiebolag</t>
        </is>
      </c>
      <c r="I183" t="n">
        <v>1</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27647-2023</t>
        </is>
      </c>
      <c r="B184" t="inlineStr">
        <is>
          <t>avverkningsanmälan</t>
        </is>
      </c>
      <c r="C184" t="inlineStr">
        <is>
          <t>Föryngringsavverkning</t>
        </is>
      </c>
      <c r="D184" s="1" t="n">
        <v>45097</v>
      </c>
      <c r="E184" s="1" t="n">
        <v>46324</v>
      </c>
      <c r="F184" t="inlineStr">
        <is>
          <t>ÖSTERGÖTLANDS LÄN</t>
        </is>
      </c>
      <c r="G184" t="inlineStr">
        <is>
          <t>BOXHOLM</t>
        </is>
      </c>
      <c r="H184" t="inlineStr">
        <is>
          <t>Allmännings- och besparingsskogar</t>
        </is>
      </c>
      <c r="I184" t="n">
        <v>7.8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61961-2025</t>
        </is>
      </c>
      <c r="B185" t="inlineStr">
        <is>
          <t>avverkningsanmälan</t>
        </is>
      </c>
      <c r="C185" t="inlineStr">
        <is>
          <t>Föryngringsavverkning</t>
        </is>
      </c>
      <c r="D185" s="1" t="n">
        <v>46003</v>
      </c>
      <c r="E185" s="1" t="n">
        <v>46324</v>
      </c>
      <c r="F185" t="inlineStr">
        <is>
          <t>ÖSTERGÖTLANDS LÄN</t>
        </is>
      </c>
      <c r="G185" t="inlineStr">
        <is>
          <t>BOXHOLM</t>
        </is>
      </c>
      <c r="I185" t="n">
        <v>3.5</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15386-2025</t>
        </is>
      </c>
      <c r="B186" t="inlineStr">
        <is>
          <t>avverkningsanmälan</t>
        </is>
      </c>
      <c r="C186" t="inlineStr">
        <is>
          <t>Avverkning för att bevara och utveckla /försöksver</t>
        </is>
      </c>
      <c r="D186" s="1" t="n">
        <v>45747</v>
      </c>
      <c r="E186" s="1" t="n">
        <v>46324</v>
      </c>
      <c r="F186" t="inlineStr">
        <is>
          <t>ÖSTERGÖTLANDS LÄN</t>
        </is>
      </c>
      <c r="G186" t="inlineStr">
        <is>
          <t>BOXHOLM</t>
        </is>
      </c>
      <c r="H186" t="inlineStr">
        <is>
          <t>Övriga Aktiebolag</t>
        </is>
      </c>
      <c r="I186" t="n">
        <v>1.8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933-2024</t>
        </is>
      </c>
      <c r="B187" t="inlineStr">
        <is>
          <t>avverkningsanmälan</t>
        </is>
      </c>
      <c r="C187" t="inlineStr">
        <is>
          <t>Föryngringsavverkning</t>
        </is>
      </c>
      <c r="D187" s="1" t="n">
        <v>45301</v>
      </c>
      <c r="E187" s="1" t="n">
        <v>46324</v>
      </c>
      <c r="F187" t="inlineStr">
        <is>
          <t>ÖSTERGÖTLANDS LÄN</t>
        </is>
      </c>
      <c r="G187" t="inlineStr">
        <is>
          <t>BOXHOLM</t>
        </is>
      </c>
      <c r="I187" t="n">
        <v>1.9</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37405-2023</t>
        </is>
      </c>
      <c r="B188" t="inlineStr">
        <is>
          <t>avverkningsanmälan</t>
        </is>
      </c>
      <c r="C188" t="inlineStr">
        <is>
          <t>Föryngringsavverkning</t>
        </is>
      </c>
      <c r="D188" s="1" t="n">
        <v>45156</v>
      </c>
      <c r="E188" s="1" t="n">
        <v>46324</v>
      </c>
      <c r="F188" t="inlineStr">
        <is>
          <t>ÖSTERGÖTLANDS LÄN</t>
        </is>
      </c>
      <c r="G188" t="inlineStr">
        <is>
          <t>BOXHOLM</t>
        </is>
      </c>
      <c r="I188" t="n">
        <v>0.5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960-2024</t>
        </is>
      </c>
      <c r="B189" t="inlineStr">
        <is>
          <t>avverkningsanmälan</t>
        </is>
      </c>
      <c r="C189" t="inlineStr">
        <is>
          <t>Föryngringsavverkning</t>
        </is>
      </c>
      <c r="D189" s="1" t="n">
        <v>45301</v>
      </c>
      <c r="E189" s="1" t="n">
        <v>46324</v>
      </c>
      <c r="F189" t="inlineStr">
        <is>
          <t>ÖSTERGÖTLANDS LÄN</t>
        </is>
      </c>
      <c r="G189" t="inlineStr">
        <is>
          <t>BOXHOLM</t>
        </is>
      </c>
      <c r="I189" t="n">
        <v>2.2</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21634-2023</t>
        </is>
      </c>
      <c r="B190" t="inlineStr">
        <is>
          <t>avverkningsanmälan</t>
        </is>
      </c>
      <c r="C190" t="inlineStr">
        <is>
          <t>Föryngringsavverkning</t>
        </is>
      </c>
      <c r="D190" s="1" t="n">
        <v>45062</v>
      </c>
      <c r="E190" s="1" t="n">
        <v>46324</v>
      </c>
      <c r="F190" t="inlineStr">
        <is>
          <t>ÖSTERGÖTLANDS LÄN</t>
        </is>
      </c>
      <c r="G190" t="inlineStr">
        <is>
          <t>BOXHOLM</t>
        </is>
      </c>
      <c r="I190" t="n">
        <v>0.7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61966-2025</t>
        </is>
      </c>
      <c r="B191" t="inlineStr">
        <is>
          <t>avverkningsanmälan</t>
        </is>
      </c>
      <c r="C191" t="inlineStr">
        <is>
          <t>Föryngringsavverkning</t>
        </is>
      </c>
      <c r="D191" s="1" t="n">
        <v>46003</v>
      </c>
      <c r="E191" s="1" t="n">
        <v>46324</v>
      </c>
      <c r="F191" t="inlineStr">
        <is>
          <t>ÖSTERGÖTLANDS LÄN</t>
        </is>
      </c>
      <c r="G191" t="inlineStr">
        <is>
          <t>BOXHOLM</t>
        </is>
      </c>
      <c r="I191" t="n">
        <v>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2273-2025</t>
        </is>
      </c>
      <c r="B192" t="inlineStr">
        <is>
          <t>avverkningsanmälan</t>
        </is>
      </c>
      <c r="C192" t="inlineStr">
        <is>
          <t>Avverkning för annat ändamål</t>
        </is>
      </c>
      <c r="D192" s="1" t="n">
        <v>45673</v>
      </c>
      <c r="E192" s="1" t="n">
        <v>46324</v>
      </c>
      <c r="F192" t="inlineStr">
        <is>
          <t>ÖSTERGÖTLANDS LÄN</t>
        </is>
      </c>
      <c r="G192" t="inlineStr">
        <is>
          <t>BOXHOLM</t>
        </is>
      </c>
      <c r="H192" t="inlineStr">
        <is>
          <t>Övriga Aktiebolag</t>
        </is>
      </c>
      <c r="I192" t="n">
        <v>1.5</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40308-2022</t>
        </is>
      </c>
      <c r="B193" t="inlineStr">
        <is>
          <t>avverkningsanmälan</t>
        </is>
      </c>
      <c r="C193" t="inlineStr">
        <is>
          <t>Föryngringsavverkning</t>
        </is>
      </c>
      <c r="D193" s="1" t="n">
        <v>44822</v>
      </c>
      <c r="E193" s="1" t="n">
        <v>46324</v>
      </c>
      <c r="F193" t="inlineStr">
        <is>
          <t>ÖSTERGÖTLANDS LÄN</t>
        </is>
      </c>
      <c r="G193" t="inlineStr">
        <is>
          <t>BOXHOLM</t>
        </is>
      </c>
      <c r="I193" t="n">
        <v>1.1</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62776-2025</t>
        </is>
      </c>
      <c r="B194" t="inlineStr">
        <is>
          <t>avverkningsanmälan</t>
        </is>
      </c>
      <c r="C194" t="inlineStr">
        <is>
          <t>Avverkning för att bevara och utveckla /försöksver</t>
        </is>
      </c>
      <c r="D194" s="1" t="n">
        <v>46008</v>
      </c>
      <c r="E194" s="1" t="n">
        <v>46324</v>
      </c>
      <c r="F194" t="inlineStr">
        <is>
          <t>ÖSTERGÖTLANDS LÄN</t>
        </is>
      </c>
      <c r="G194" t="inlineStr">
        <is>
          <t>BOXHOLM</t>
        </is>
      </c>
      <c r="H194" t="inlineStr">
        <is>
          <t>Övriga Aktiebolag</t>
        </is>
      </c>
      <c r="I194" t="n">
        <v>1.2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39031-2023</t>
        </is>
      </c>
      <c r="B195" t="inlineStr">
        <is>
          <t>avverkningsanmälan</t>
        </is>
      </c>
      <c r="C195" t="inlineStr">
        <is>
          <t>Föryngringsavverkning</t>
        </is>
      </c>
      <c r="D195" s="1" t="n">
        <v>45163</v>
      </c>
      <c r="E195" s="1" t="n">
        <v>46324</v>
      </c>
      <c r="F195" t="inlineStr">
        <is>
          <t>ÖSTERGÖTLANDS LÄN</t>
        </is>
      </c>
      <c r="G195" t="inlineStr">
        <is>
          <t>BOXHOLM</t>
        </is>
      </c>
      <c r="H195" t="inlineStr">
        <is>
          <t>Allmännings- och besparingsskogar</t>
        </is>
      </c>
      <c r="I195" t="n">
        <v>0.7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62796-2025</t>
        </is>
      </c>
      <c r="B196" t="inlineStr">
        <is>
          <t>avverkningsanmälan</t>
        </is>
      </c>
      <c r="C196" t="inlineStr">
        <is>
          <t>Avverkning för att bevara och utveckla /försöksver</t>
        </is>
      </c>
      <c r="D196" s="1" t="n">
        <v>46008</v>
      </c>
      <c r="E196" s="1" t="n">
        <v>46324</v>
      </c>
      <c r="F196" t="inlineStr">
        <is>
          <t>ÖSTERGÖTLANDS LÄN</t>
        </is>
      </c>
      <c r="G196" t="inlineStr">
        <is>
          <t>BOXHOLM</t>
        </is>
      </c>
      <c r="H196" t="inlineStr">
        <is>
          <t>Övriga Aktiebolag</t>
        </is>
      </c>
      <c r="I196" t="n">
        <v>0.8</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7290-2025</t>
        </is>
      </c>
      <c r="B197" t="inlineStr">
        <is>
          <t>avverkningsanmälan</t>
        </is>
      </c>
      <c r="C197" t="inlineStr">
        <is>
          <t>Avverkning för annat ändamål</t>
        </is>
      </c>
      <c r="D197" s="1" t="n">
        <v>45702</v>
      </c>
      <c r="E197" s="1" t="n">
        <v>46324</v>
      </c>
      <c r="F197" t="inlineStr">
        <is>
          <t>ÖSTERGÖTLANDS LÄN</t>
        </is>
      </c>
      <c r="G197" t="inlineStr">
        <is>
          <t>BOXHOLM</t>
        </is>
      </c>
      <c r="I197" t="n">
        <v>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51545-2023</t>
        </is>
      </c>
      <c r="B198" t="inlineStr">
        <is>
          <t>avverkningsanmälan</t>
        </is>
      </c>
      <c r="C198" t="inlineStr">
        <is>
          <t>Föryngringsavverkning</t>
        </is>
      </c>
      <c r="D198" s="1" t="n">
        <v>45222</v>
      </c>
      <c r="E198" s="1" t="n">
        <v>46324</v>
      </c>
      <c r="F198" t="inlineStr">
        <is>
          <t>ÖSTERGÖTLANDS LÄN</t>
        </is>
      </c>
      <c r="G198" t="inlineStr">
        <is>
          <t>BOXHOLM</t>
        </is>
      </c>
      <c r="I198" t="n">
        <v>4.3</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15498-2023</t>
        </is>
      </c>
      <c r="B199" t="inlineStr">
        <is>
          <t>avverkningsanmälan</t>
        </is>
      </c>
      <c r="C199" t="inlineStr">
        <is>
          <t>Föryngringsavverkning</t>
        </is>
      </c>
      <c r="D199" s="1" t="n">
        <v>45020</v>
      </c>
      <c r="E199" s="1" t="n">
        <v>46324</v>
      </c>
      <c r="F199" t="inlineStr">
        <is>
          <t>ÖSTERGÖTLANDS LÄN</t>
        </is>
      </c>
      <c r="G199" t="inlineStr">
        <is>
          <t>BOXHOLM</t>
        </is>
      </c>
      <c r="I199" t="n">
        <v>0.6</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4415-2024</t>
        </is>
      </c>
      <c r="B200" t="inlineStr">
        <is>
          <t>avverkningsanmälan</t>
        </is>
      </c>
      <c r="C200" t="inlineStr">
        <is>
          <t>Föryngringsavverkning</t>
        </is>
      </c>
      <c r="D200" s="1" t="n">
        <v>45327</v>
      </c>
      <c r="E200" s="1" t="n">
        <v>46324</v>
      </c>
      <c r="F200" t="inlineStr">
        <is>
          <t>ÖSTERGÖTLANDS LÄN</t>
        </is>
      </c>
      <c r="G200" t="inlineStr">
        <is>
          <t>BOXHOLM</t>
        </is>
      </c>
      <c r="H200" t="inlineStr">
        <is>
          <t>Allmännings- och besparingsskogar</t>
        </is>
      </c>
      <c r="I200" t="n">
        <v>6.4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48560-2022</t>
        </is>
      </c>
      <c r="B201" t="inlineStr">
        <is>
          <t>avverkningsanmälan</t>
        </is>
      </c>
      <c r="C201" t="inlineStr">
        <is>
          <t>Föryngringsavverkning</t>
        </is>
      </c>
      <c r="D201" s="1" t="n">
        <v>44859</v>
      </c>
      <c r="E201" s="1" t="n">
        <v>46324</v>
      </c>
      <c r="F201" t="inlineStr">
        <is>
          <t>ÖSTERGÖTLANDS LÄN</t>
        </is>
      </c>
      <c r="G201" t="inlineStr">
        <is>
          <t>BOXHOLM</t>
        </is>
      </c>
      <c r="H201" t="inlineStr">
        <is>
          <t>Övriga Aktiebolag</t>
        </is>
      </c>
      <c r="I201" t="n">
        <v>1.5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15500-2025</t>
        </is>
      </c>
      <c r="B202" t="inlineStr">
        <is>
          <t>avverkningsanmälan</t>
        </is>
      </c>
      <c r="C202" t="inlineStr">
        <is>
          <t>Avverkning för att bevara och utveckla /försöksver</t>
        </is>
      </c>
      <c r="D202" s="1" t="n">
        <v>45747</v>
      </c>
      <c r="E202" s="1" t="n">
        <v>46324</v>
      </c>
      <c r="F202" t="inlineStr">
        <is>
          <t>ÖSTERGÖTLANDS LÄN</t>
        </is>
      </c>
      <c r="G202" t="inlineStr">
        <is>
          <t>BOXHOLM</t>
        </is>
      </c>
      <c r="H202" t="inlineStr">
        <is>
          <t>Övriga Aktiebolag</t>
        </is>
      </c>
      <c r="I202" t="n">
        <v>0.7</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10152-2024</t>
        </is>
      </c>
      <c r="B203" t="inlineStr">
        <is>
          <t>avverkningsanmälan</t>
        </is>
      </c>
      <c r="C203" t="inlineStr">
        <is>
          <t>Föryngringsavverkning</t>
        </is>
      </c>
      <c r="D203" s="1" t="n">
        <v>45364</v>
      </c>
      <c r="E203" s="1" t="n">
        <v>46324</v>
      </c>
      <c r="F203" t="inlineStr">
        <is>
          <t>ÖSTERGÖTLANDS LÄN</t>
        </is>
      </c>
      <c r="G203" t="inlineStr">
        <is>
          <t>BOXHOLM</t>
        </is>
      </c>
      <c r="I203" t="n">
        <v>0.7</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1090-2026</t>
        </is>
      </c>
      <c r="B204" t="inlineStr">
        <is>
          <t>avverkningsanmälan</t>
        </is>
      </c>
      <c r="C204" t="inlineStr">
        <is>
          <t>Föryngringsavverkning</t>
        </is>
      </c>
      <c r="D204" s="1" t="n">
        <v>46030</v>
      </c>
      <c r="E204" s="1" t="n">
        <v>46324</v>
      </c>
      <c r="F204" t="inlineStr">
        <is>
          <t>ÖSTERGÖTLANDS LÄN</t>
        </is>
      </c>
      <c r="G204" t="inlineStr">
        <is>
          <t>BOXHOLM</t>
        </is>
      </c>
      <c r="H204" t="inlineStr">
        <is>
          <t>Allmännings- och besparingsskogar</t>
        </is>
      </c>
      <c r="I204" t="n">
        <v>0.9</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2203-2026</t>
        </is>
      </c>
      <c r="B205" t="inlineStr">
        <is>
          <t>avverkningsanmälan</t>
        </is>
      </c>
      <c r="C205" t="inlineStr">
        <is>
          <t>Föryngringsavverkning</t>
        </is>
      </c>
      <c r="D205" s="1" t="n">
        <v>46036</v>
      </c>
      <c r="E205" s="1" t="n">
        <v>46324</v>
      </c>
      <c r="F205" t="inlineStr">
        <is>
          <t>ÖSTERGÖTLANDS LÄN</t>
        </is>
      </c>
      <c r="G205" t="inlineStr">
        <is>
          <t>BOXHOLM</t>
        </is>
      </c>
      <c r="I205" t="n">
        <v>0.6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35432-2023</t>
        </is>
      </c>
      <c r="B206" t="inlineStr">
        <is>
          <t>avverkningsanmälan</t>
        </is>
      </c>
      <c r="C206" t="inlineStr">
        <is>
          <t>Föryngringsavverkning</t>
        </is>
      </c>
      <c r="D206" s="1" t="n">
        <v>45146</v>
      </c>
      <c r="E206" s="1" t="n">
        <v>46324</v>
      </c>
      <c r="F206" t="inlineStr">
        <is>
          <t>ÖSTERGÖTLANDS LÄN</t>
        </is>
      </c>
      <c r="G206" t="inlineStr">
        <is>
          <t>BOXHOLM</t>
        </is>
      </c>
      <c r="I206" t="n">
        <v>0.7</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21635-2023</t>
        </is>
      </c>
      <c r="B207" t="inlineStr">
        <is>
          <t>avverkningsanmälan</t>
        </is>
      </c>
      <c r="C207" t="inlineStr">
        <is>
          <t>Föryngringsavverkning</t>
        </is>
      </c>
      <c r="D207" s="1" t="n">
        <v>45062</v>
      </c>
      <c r="E207" s="1" t="n">
        <v>46324</v>
      </c>
      <c r="F207" t="inlineStr">
        <is>
          <t>ÖSTERGÖTLANDS LÄN</t>
        </is>
      </c>
      <c r="G207" t="inlineStr">
        <is>
          <t>BOXHOLM</t>
        </is>
      </c>
      <c r="I207" t="n">
        <v>6</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59125-2022</t>
        </is>
      </c>
      <c r="B208" t="inlineStr">
        <is>
          <t>avverkningsanmälan</t>
        </is>
      </c>
      <c r="C208" t="inlineStr">
        <is>
          <t>Föryngringsavverkning</t>
        </is>
      </c>
      <c r="D208" s="1" t="n">
        <v>44904</v>
      </c>
      <c r="E208" s="1" t="n">
        <v>46324</v>
      </c>
      <c r="F208" t="inlineStr">
        <is>
          <t>ÖSTERGÖTLANDS LÄN</t>
        </is>
      </c>
      <c r="G208" t="inlineStr">
        <is>
          <t>BOXHOLM</t>
        </is>
      </c>
      <c r="I208" t="n">
        <v>0.8</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4005-2026</t>
        </is>
      </c>
      <c r="B209" t="inlineStr">
        <is>
          <t>avverkningsanmälan</t>
        </is>
      </c>
      <c r="C209" t="inlineStr">
        <is>
          <t>Föryngringsavverkning</t>
        </is>
      </c>
      <c r="D209" s="1" t="n">
        <v>46044</v>
      </c>
      <c r="E209" s="1" t="n">
        <v>46324</v>
      </c>
      <c r="F209" t="inlineStr">
        <is>
          <t>ÖSTERGÖTLANDS LÄN</t>
        </is>
      </c>
      <c r="G209" t="inlineStr">
        <is>
          <t>BOXHOLM</t>
        </is>
      </c>
      <c r="I209" t="n">
        <v>0.5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48322-2022</t>
        </is>
      </c>
      <c r="B210" t="inlineStr">
        <is>
          <t>avverkningsanmälan</t>
        </is>
      </c>
      <c r="C210" t="inlineStr">
        <is>
          <t>Föryngringsavverkning</t>
        </is>
      </c>
      <c r="D210" s="1" t="n">
        <v>44858</v>
      </c>
      <c r="E210" s="1" t="n">
        <v>46324</v>
      </c>
      <c r="F210" t="inlineStr">
        <is>
          <t>ÖSTERGÖTLANDS LÄN</t>
        </is>
      </c>
      <c r="G210" t="inlineStr">
        <is>
          <t>BOXHOLM</t>
        </is>
      </c>
      <c r="H210" t="inlineStr">
        <is>
          <t>Allmännings- och besparingsskogar</t>
        </is>
      </c>
      <c r="I210" t="n">
        <v>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60210-2023</t>
        </is>
      </c>
      <c r="B211" t="inlineStr">
        <is>
          <t>avverkningsanmälan</t>
        </is>
      </c>
      <c r="C211" t="inlineStr">
        <is>
          <t>Föryngringsavverkning</t>
        </is>
      </c>
      <c r="D211" s="1" t="n">
        <v>45258</v>
      </c>
      <c r="E211" s="1" t="n">
        <v>46324</v>
      </c>
      <c r="F211" t="inlineStr">
        <is>
          <t>ÖSTERGÖTLANDS LÄN</t>
        </is>
      </c>
      <c r="G211" t="inlineStr">
        <is>
          <t>BOXHOLM</t>
        </is>
      </c>
      <c r="H211" t="inlineStr">
        <is>
          <t>Övriga Aktiebolag</t>
        </is>
      </c>
      <c r="I211" t="n">
        <v>1.7</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60867-2022</t>
        </is>
      </c>
      <c r="B212" t="inlineStr">
        <is>
          <t>avverkningsanmälan</t>
        </is>
      </c>
      <c r="C212" t="inlineStr">
        <is>
          <t>Avverkning för annat ändamål</t>
        </is>
      </c>
      <c r="D212" s="1" t="n">
        <v>44914</v>
      </c>
      <c r="E212" s="1" t="n">
        <v>46324</v>
      </c>
      <c r="F212" t="inlineStr">
        <is>
          <t>ÖSTERGÖTLANDS LÄN</t>
        </is>
      </c>
      <c r="G212" t="inlineStr">
        <is>
          <t>BOXHOLM</t>
        </is>
      </c>
      <c r="H212" t="inlineStr">
        <is>
          <t>Övriga Aktiebolag</t>
        </is>
      </c>
      <c r="I212" t="n">
        <v>1.4</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17872-2025</t>
        </is>
      </c>
      <c r="B213" t="inlineStr">
        <is>
          <t>avverkningsanmälan</t>
        </is>
      </c>
      <c r="C213" t="inlineStr">
        <is>
          <t>Avverkning för att bevara och utveckla /försöksver</t>
        </is>
      </c>
      <c r="D213" s="1" t="n">
        <v>45758</v>
      </c>
      <c r="E213" s="1" t="n">
        <v>46324</v>
      </c>
      <c r="F213" t="inlineStr">
        <is>
          <t>ÖSTERGÖTLANDS LÄN</t>
        </is>
      </c>
      <c r="G213" t="inlineStr">
        <is>
          <t>BOXHOLM</t>
        </is>
      </c>
      <c r="H213" t="inlineStr">
        <is>
          <t>Övriga Aktiebolag</t>
        </is>
      </c>
      <c r="I213" t="n">
        <v>0.6</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27485-2026</t>
        </is>
      </c>
      <c r="B214" t="inlineStr">
        <is>
          <t>avverkningsanmälan</t>
        </is>
      </c>
      <c r="C214" t="inlineStr">
        <is>
          <t>Avverkning för att bevara och utveckla /försöksver</t>
        </is>
      </c>
      <c r="D214" s="1" t="n">
        <v>46189</v>
      </c>
      <c r="E214" s="1" t="n">
        <v>46324</v>
      </c>
      <c r="F214" t="inlineStr">
        <is>
          <t>ÖSTERGÖTLANDS LÄN</t>
        </is>
      </c>
      <c r="G214" t="inlineStr">
        <is>
          <t>BOXHOLM</t>
        </is>
      </c>
      <c r="H214" t="inlineStr">
        <is>
          <t>Övriga Aktiebolag</t>
        </is>
      </c>
      <c r="I214" t="n">
        <v>4.7</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44758-2025</t>
        </is>
      </c>
      <c r="B215" t="inlineStr">
        <is>
          <t>avverkningsanmälan</t>
        </is>
      </c>
      <c r="C215" t="inlineStr">
        <is>
          <t>Föryngringsavverkning</t>
        </is>
      </c>
      <c r="D215" s="1" t="n">
        <v>45917</v>
      </c>
      <c r="E215" s="1" t="n">
        <v>46324</v>
      </c>
      <c r="F215" t="inlineStr">
        <is>
          <t>ÖSTERGÖTLANDS LÄN</t>
        </is>
      </c>
      <c r="G215" t="inlineStr">
        <is>
          <t>BOXHOLM</t>
        </is>
      </c>
      <c r="I215" t="n">
        <v>5.6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954-2024</t>
        </is>
      </c>
      <c r="B216" t="inlineStr">
        <is>
          <t>avverkningsanmälan</t>
        </is>
      </c>
      <c r="C216" t="inlineStr">
        <is>
          <t>Föryngringsavverkning</t>
        </is>
      </c>
      <c r="D216" s="1" t="n">
        <v>45301</v>
      </c>
      <c r="E216" s="1" t="n">
        <v>46324</v>
      </c>
      <c r="F216" t="inlineStr">
        <is>
          <t>ÖSTERGÖTLANDS LÄN</t>
        </is>
      </c>
      <c r="G216" t="inlineStr">
        <is>
          <t>BOXHOLM</t>
        </is>
      </c>
      <c r="I216" t="n">
        <v>1.8</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965-2024</t>
        </is>
      </c>
      <c r="B217" t="inlineStr">
        <is>
          <t>avverkningsanmälan</t>
        </is>
      </c>
      <c r="C217" t="inlineStr">
        <is>
          <t>Föryngringsavverkning</t>
        </is>
      </c>
      <c r="D217" s="1" t="n">
        <v>45301</v>
      </c>
      <c r="E217" s="1" t="n">
        <v>46324</v>
      </c>
      <c r="F217" t="inlineStr">
        <is>
          <t>ÖSTERGÖTLANDS LÄN</t>
        </is>
      </c>
      <c r="G217" t="inlineStr">
        <is>
          <t>BOXHOLM</t>
        </is>
      </c>
      <c r="I217" t="n">
        <v>4.1</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8948-2026</t>
        </is>
      </c>
      <c r="B218" t="inlineStr">
        <is>
          <t>avverkningsanmälan</t>
        </is>
      </c>
      <c r="C218" t="inlineStr">
        <is>
          <t>Föryngringsavverkning</t>
        </is>
      </c>
      <c r="D218" s="1" t="n">
        <v>46069</v>
      </c>
      <c r="E218" s="1" t="n">
        <v>46324</v>
      </c>
      <c r="F218" t="inlineStr">
        <is>
          <t>ÖSTERGÖTLANDS LÄN</t>
        </is>
      </c>
      <c r="G218" t="inlineStr">
        <is>
          <t>BOXHOLM</t>
        </is>
      </c>
      <c r="H218" t="inlineStr">
        <is>
          <t>Övriga Aktiebolag</t>
        </is>
      </c>
      <c r="I218" t="n">
        <v>3.6</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28233-2026</t>
        </is>
      </c>
      <c r="B219" t="inlineStr">
        <is>
          <t>avverkningsanmälan</t>
        </is>
      </c>
      <c r="C219" t="inlineStr">
        <is>
          <t>Föryngringsavverkning</t>
        </is>
      </c>
      <c r="D219" s="1" t="n">
        <v>46196</v>
      </c>
      <c r="E219" s="1" t="n">
        <v>46324</v>
      </c>
      <c r="F219" t="inlineStr">
        <is>
          <t>ÖSTERGÖTLANDS LÄN</t>
        </is>
      </c>
      <c r="G219" t="inlineStr">
        <is>
          <t>BOXHOLM</t>
        </is>
      </c>
      <c r="H219" t="inlineStr">
        <is>
          <t>Övriga Aktiebolag</t>
        </is>
      </c>
      <c r="I219" t="n">
        <v>3.1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1539-2025</t>
        </is>
      </c>
      <c r="B220" t="inlineStr">
        <is>
          <t>avverkningsanmälan</t>
        </is>
      </c>
      <c r="C220" t="inlineStr">
        <is>
          <t>Föryngringsavverkning</t>
        </is>
      </c>
      <c r="D220" s="1" t="n">
        <v>45670</v>
      </c>
      <c r="E220" s="1" t="n">
        <v>46324</v>
      </c>
      <c r="F220" t="inlineStr">
        <is>
          <t>ÖSTERGÖTLANDS LÄN</t>
        </is>
      </c>
      <c r="G220" t="inlineStr">
        <is>
          <t>BOXHOLM</t>
        </is>
      </c>
      <c r="H220" t="inlineStr">
        <is>
          <t>Övriga Aktiebolag</t>
        </is>
      </c>
      <c r="I220" t="n">
        <v>4.3</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9422-2026</t>
        </is>
      </c>
      <c r="B221" t="inlineStr">
        <is>
          <t>avverkningsanmälan</t>
        </is>
      </c>
      <c r="C221" t="inlineStr">
        <is>
          <t>Föryngringsavverkning</t>
        </is>
      </c>
      <c r="D221" s="1" t="n">
        <v>46071</v>
      </c>
      <c r="E221" s="1" t="n">
        <v>46324</v>
      </c>
      <c r="F221" t="inlineStr">
        <is>
          <t>ÖSTERGÖTLANDS LÄN</t>
        </is>
      </c>
      <c r="G221" t="inlineStr">
        <is>
          <t>BOXHOLM</t>
        </is>
      </c>
      <c r="I221" t="n">
        <v>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39028-2023</t>
        </is>
      </c>
      <c r="B222" t="inlineStr">
        <is>
          <t>avverkningsanmälan</t>
        </is>
      </c>
      <c r="C222" t="inlineStr">
        <is>
          <t>Föryngringsavverkning</t>
        </is>
      </c>
      <c r="D222" s="1" t="n">
        <v>45163</v>
      </c>
      <c r="E222" s="1" t="n">
        <v>46324</v>
      </c>
      <c r="F222" t="inlineStr">
        <is>
          <t>ÖSTERGÖTLANDS LÄN</t>
        </is>
      </c>
      <c r="G222" t="inlineStr">
        <is>
          <t>BOXHOLM</t>
        </is>
      </c>
      <c r="H222" t="inlineStr">
        <is>
          <t>Allmännings- och besparingsskogar</t>
        </is>
      </c>
      <c r="I222" t="n">
        <v>2.9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16635-2022</t>
        </is>
      </c>
      <c r="B223" t="inlineStr">
        <is>
          <t>avverkningsanmälan</t>
        </is>
      </c>
      <c r="C223" t="inlineStr">
        <is>
          <t>Föryngringsavverkning</t>
        </is>
      </c>
      <c r="D223" s="1" t="n">
        <v>44672</v>
      </c>
      <c r="E223" s="1" t="n">
        <v>46324</v>
      </c>
      <c r="F223" t="inlineStr">
        <is>
          <t>ÖSTERGÖTLANDS LÄN</t>
        </is>
      </c>
      <c r="G223" t="inlineStr">
        <is>
          <t>BOXHOLM</t>
        </is>
      </c>
      <c r="I223" t="n">
        <v>2.9</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8771-2022</t>
        </is>
      </c>
      <c r="B224" t="inlineStr">
        <is>
          <t>avverkningsanmälan</t>
        </is>
      </c>
      <c r="C224" t="inlineStr">
        <is>
          <t>Föryngringsavverkning</t>
        </is>
      </c>
      <c r="D224" s="1" t="n">
        <v>44614</v>
      </c>
      <c r="E224" s="1" t="n">
        <v>46324</v>
      </c>
      <c r="F224" t="inlineStr">
        <is>
          <t>ÖSTERGÖTLANDS LÄN</t>
        </is>
      </c>
      <c r="G224" t="inlineStr">
        <is>
          <t>BOXHOLM</t>
        </is>
      </c>
      <c r="H224" t="inlineStr">
        <is>
          <t>Övriga Aktiebolag</t>
        </is>
      </c>
      <c r="I224" t="n">
        <v>1.6</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22853-2023</t>
        </is>
      </c>
      <c r="B225" t="inlineStr">
        <is>
          <t>avverkningsanmälan</t>
        </is>
      </c>
      <c r="C225" t="inlineStr">
        <is>
          <t>Föryngringsavverkning</t>
        </is>
      </c>
      <c r="D225" s="1" t="n">
        <v>45072</v>
      </c>
      <c r="E225" s="1" t="n">
        <v>46324</v>
      </c>
      <c r="F225" t="inlineStr">
        <is>
          <t>ÖSTERGÖTLANDS LÄN</t>
        </is>
      </c>
      <c r="G225" t="inlineStr">
        <is>
          <t>BOXHOLM</t>
        </is>
      </c>
      <c r="I225" t="n">
        <v>0.5</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11304-2026</t>
        </is>
      </c>
      <c r="B226" t="inlineStr">
        <is>
          <t>avverkningsanmälan</t>
        </is>
      </c>
      <c r="C226" t="inlineStr">
        <is>
          <t>Föryngringsavverkning</t>
        </is>
      </c>
      <c r="D226" s="1" t="n">
        <v>46080</v>
      </c>
      <c r="E226" s="1" t="n">
        <v>46324</v>
      </c>
      <c r="F226" t="inlineStr">
        <is>
          <t>ÖSTERGÖTLANDS LÄN</t>
        </is>
      </c>
      <c r="G226" t="inlineStr">
        <is>
          <t>BOXHOLM</t>
        </is>
      </c>
      <c r="H226" t="inlineStr">
        <is>
          <t>Allmännings- och besparingsskogar</t>
        </is>
      </c>
      <c r="I226" t="n">
        <v>0.9</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28865-2026</t>
        </is>
      </c>
      <c r="B227" t="inlineStr">
        <is>
          <t>avverkningsanmälan</t>
        </is>
      </c>
      <c r="C227" t="inlineStr">
        <is>
          <t>Föryngringsavverkning</t>
        </is>
      </c>
      <c r="D227" s="1" t="n">
        <v>46199</v>
      </c>
      <c r="E227" s="1" t="n">
        <v>46324</v>
      </c>
      <c r="F227" t="inlineStr">
        <is>
          <t>ÖSTERGÖTLANDS LÄN</t>
        </is>
      </c>
      <c r="G227" t="inlineStr">
        <is>
          <t>BOXHOLM</t>
        </is>
      </c>
      <c r="I227" t="n">
        <v>3.4</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10331-2024</t>
        </is>
      </c>
      <c r="B228" t="inlineStr">
        <is>
          <t>avverkningsanmälan</t>
        </is>
      </c>
      <c r="C228" t="inlineStr">
        <is>
          <t>Föryngringsavverkning</t>
        </is>
      </c>
      <c r="D228" s="1" t="n">
        <v>45365</v>
      </c>
      <c r="E228" s="1" t="n">
        <v>46324</v>
      </c>
      <c r="F228" t="inlineStr">
        <is>
          <t>ÖSTERGÖTLANDS LÄN</t>
        </is>
      </c>
      <c r="G228" t="inlineStr">
        <is>
          <t>BOXHOLM</t>
        </is>
      </c>
      <c r="I228" t="n">
        <v>1</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49089-2023</t>
        </is>
      </c>
      <c r="B229" t="inlineStr">
        <is>
          <t>avverkningsanmälan</t>
        </is>
      </c>
      <c r="C229" t="inlineStr">
        <is>
          <t>Föryngringsavverkning</t>
        </is>
      </c>
      <c r="D229" s="1" t="n">
        <v>45210</v>
      </c>
      <c r="E229" s="1" t="n">
        <v>46324</v>
      </c>
      <c r="F229" t="inlineStr">
        <is>
          <t>ÖSTERGÖTLANDS LÄN</t>
        </is>
      </c>
      <c r="G229" t="inlineStr">
        <is>
          <t>BOXHOLM</t>
        </is>
      </c>
      <c r="I229" t="n">
        <v>11.2</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12203-2025</t>
        </is>
      </c>
      <c r="B230" t="inlineStr">
        <is>
          <t>avverkningsanmälan</t>
        </is>
      </c>
      <c r="C230" t="inlineStr">
        <is>
          <t>Föryngringsavverkning</t>
        </is>
      </c>
      <c r="D230" s="1" t="n">
        <v>45729</v>
      </c>
      <c r="E230" s="1" t="n">
        <v>46324</v>
      </c>
      <c r="F230" t="inlineStr">
        <is>
          <t>ÖSTERGÖTLANDS LÄN</t>
        </is>
      </c>
      <c r="G230" t="inlineStr">
        <is>
          <t>BOXHOLM</t>
        </is>
      </c>
      <c r="H230" t="inlineStr">
        <is>
          <t>Allmännings- och besparingsskogar</t>
        </is>
      </c>
      <c r="I230" t="n">
        <v>4.5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2198-2023</t>
        </is>
      </c>
      <c r="B231" t="inlineStr">
        <is>
          <t>avverkningsanmälan</t>
        </is>
      </c>
      <c r="C231" t="inlineStr">
        <is>
          <t>Föryngringsavverkning</t>
        </is>
      </c>
      <c r="D231" s="1" t="n">
        <v>44942</v>
      </c>
      <c r="E231" s="1" t="n">
        <v>46324</v>
      </c>
      <c r="F231" t="inlineStr">
        <is>
          <t>ÖSTERGÖTLANDS LÄN</t>
        </is>
      </c>
      <c r="G231" t="inlineStr">
        <is>
          <t>BOXHOLM</t>
        </is>
      </c>
      <c r="I231" t="n">
        <v>0.6</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25431-2023</t>
        </is>
      </c>
      <c r="B232" t="inlineStr">
        <is>
          <t>avverkningsanmälan</t>
        </is>
      </c>
      <c r="C232" t="inlineStr">
        <is>
          <t>Föryngringsavverkning</t>
        </is>
      </c>
      <c r="D232" s="1" t="n">
        <v>45089</v>
      </c>
      <c r="E232" s="1" t="n">
        <v>46324</v>
      </c>
      <c r="F232" t="inlineStr">
        <is>
          <t>ÖSTERGÖTLANDS LÄN</t>
        </is>
      </c>
      <c r="G232" t="inlineStr">
        <is>
          <t>BOXHOLM</t>
        </is>
      </c>
      <c r="I232" t="n">
        <v>2.8</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5824-2024</t>
        </is>
      </c>
      <c r="B233" t="inlineStr">
        <is>
          <t>avverkningsanmälan</t>
        </is>
      </c>
      <c r="C233" t="inlineStr">
        <is>
          <t>Föryngringsavverkning</t>
        </is>
      </c>
      <c r="D233" s="1" t="n">
        <v>45335</v>
      </c>
      <c r="E233" s="1" t="n">
        <v>46324</v>
      </c>
      <c r="F233" t="inlineStr">
        <is>
          <t>ÖSTERGÖTLANDS LÄN</t>
        </is>
      </c>
      <c r="G233" t="inlineStr">
        <is>
          <t>BOXHOLM</t>
        </is>
      </c>
      <c r="H233" t="inlineStr">
        <is>
          <t>Allmännings- och besparingsskogar</t>
        </is>
      </c>
      <c r="I233" t="n">
        <v>1.5</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15501-2023</t>
        </is>
      </c>
      <c r="B234" t="inlineStr">
        <is>
          <t>avverkningsanmälan</t>
        </is>
      </c>
      <c r="C234" t="inlineStr">
        <is>
          <t>Föryngringsavverkning</t>
        </is>
      </c>
      <c r="D234" s="1" t="n">
        <v>45020</v>
      </c>
      <c r="E234" s="1" t="n">
        <v>46324</v>
      </c>
      <c r="F234" t="inlineStr">
        <is>
          <t>ÖSTERGÖTLANDS LÄN</t>
        </is>
      </c>
      <c r="G234" t="inlineStr">
        <is>
          <t>BOXHOLM</t>
        </is>
      </c>
      <c r="I234" t="n">
        <v>0</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15505-2023</t>
        </is>
      </c>
      <c r="B235" t="inlineStr">
        <is>
          <t>avverkningsanmälan</t>
        </is>
      </c>
      <c r="C235" t="inlineStr">
        <is>
          <t>Föryngringsavverkning</t>
        </is>
      </c>
      <c r="D235" s="1" t="n">
        <v>45020</v>
      </c>
      <c r="E235" s="1" t="n">
        <v>46324</v>
      </c>
      <c r="F235" t="inlineStr">
        <is>
          <t>ÖSTERGÖTLANDS LÄN</t>
        </is>
      </c>
      <c r="G235" t="inlineStr">
        <is>
          <t>BOXHOLM</t>
        </is>
      </c>
      <c r="I235" t="n">
        <v>2.1</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29974-2026</t>
        </is>
      </c>
      <c r="B236" t="inlineStr">
        <is>
          <t>avverkningsanmälan</t>
        </is>
      </c>
      <c r="C236" t="inlineStr">
        <is>
          <t>Föryngringsavverkning</t>
        </is>
      </c>
      <c r="D236" s="1" t="n">
        <v>46205</v>
      </c>
      <c r="E236" s="1" t="n">
        <v>46324</v>
      </c>
      <c r="F236" t="inlineStr">
        <is>
          <t>ÖSTERGÖTLANDS LÄN</t>
        </is>
      </c>
      <c r="G236" t="inlineStr">
        <is>
          <t>BOXHOLM</t>
        </is>
      </c>
      <c r="I236" t="n">
        <v>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29975-2026</t>
        </is>
      </c>
      <c r="B237" t="inlineStr">
        <is>
          <t>avverkningsanmälan</t>
        </is>
      </c>
      <c r="C237" t="inlineStr">
        <is>
          <t>Föryngringsavverkning</t>
        </is>
      </c>
      <c r="D237" s="1" t="n">
        <v>46205</v>
      </c>
      <c r="E237" s="1" t="n">
        <v>46324</v>
      </c>
      <c r="F237" t="inlineStr">
        <is>
          <t>ÖSTERGÖTLANDS LÄN</t>
        </is>
      </c>
      <c r="G237" t="inlineStr">
        <is>
          <t>BOXHOLM</t>
        </is>
      </c>
      <c r="I237" t="n">
        <v>1.4</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56125-2025</t>
        </is>
      </c>
      <c r="B238" t="inlineStr">
        <is>
          <t>avverkningsanmälan</t>
        </is>
      </c>
      <c r="C238" t="inlineStr">
        <is>
          <t>Föryngringsavverkning</t>
        </is>
      </c>
      <c r="D238" s="1" t="n">
        <v>45973</v>
      </c>
      <c r="E238" s="1" t="n">
        <v>46324</v>
      </c>
      <c r="F238" t="inlineStr">
        <is>
          <t>ÖSTERGÖTLANDS LÄN</t>
        </is>
      </c>
      <c r="G238" t="inlineStr">
        <is>
          <t>BOXHOLM</t>
        </is>
      </c>
      <c r="H238" t="inlineStr">
        <is>
          <t>Övriga Aktiebolag</t>
        </is>
      </c>
      <c r="I238" t="n">
        <v>7.1</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29977-2026</t>
        </is>
      </c>
      <c r="B239" t="inlineStr">
        <is>
          <t>avverkningsanmälan</t>
        </is>
      </c>
      <c r="C239" t="inlineStr">
        <is>
          <t>Föryngringsavverkning</t>
        </is>
      </c>
      <c r="D239" s="1" t="n">
        <v>46205</v>
      </c>
      <c r="E239" s="1" t="n">
        <v>46324</v>
      </c>
      <c r="F239" t="inlineStr">
        <is>
          <t>ÖSTERGÖTLANDS LÄN</t>
        </is>
      </c>
      <c r="G239" t="inlineStr">
        <is>
          <t>BOXHOLM</t>
        </is>
      </c>
      <c r="I239" t="n">
        <v>2.1</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29976-2026</t>
        </is>
      </c>
      <c r="B240" t="inlineStr">
        <is>
          <t>avverkningsanmälan</t>
        </is>
      </c>
      <c r="C240" t="inlineStr">
        <is>
          <t>Föryngringsavverkning</t>
        </is>
      </c>
      <c r="D240" s="1" t="n">
        <v>46205</v>
      </c>
      <c r="E240" s="1" t="n">
        <v>46324</v>
      </c>
      <c r="F240" t="inlineStr">
        <is>
          <t>ÖSTERGÖTLANDS LÄN</t>
        </is>
      </c>
      <c r="G240" t="inlineStr">
        <is>
          <t>BOXHOLM</t>
        </is>
      </c>
      <c r="I240" t="n">
        <v>1.3</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51757-2023</t>
        </is>
      </c>
      <c r="B241" t="inlineStr">
        <is>
          <t>avverkningsanmälan</t>
        </is>
      </c>
      <c r="C241" t="inlineStr">
        <is>
          <t>Föryngringsavverkning</t>
        </is>
      </c>
      <c r="D241" s="1" t="n">
        <v>45222</v>
      </c>
      <c r="E241" s="1" t="n">
        <v>46324</v>
      </c>
      <c r="F241" t="inlineStr">
        <is>
          <t>ÖSTERGÖTLANDS LÄN</t>
        </is>
      </c>
      <c r="G241" t="inlineStr">
        <is>
          <t>BOXHOLM</t>
        </is>
      </c>
      <c r="I241" t="n">
        <v>0.8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55254-2022</t>
        </is>
      </c>
      <c r="B242" t="inlineStr">
        <is>
          <t>avverkningsanmälan</t>
        </is>
      </c>
      <c r="C242" t="inlineStr">
        <is>
          <t>Föryngringsavverkning</t>
        </is>
      </c>
      <c r="D242" s="1" t="n">
        <v>44887</v>
      </c>
      <c r="E242" s="1" t="n">
        <v>46324</v>
      </c>
      <c r="F242" t="inlineStr">
        <is>
          <t>ÖSTERGÖTLANDS LÄN</t>
        </is>
      </c>
      <c r="G242" t="inlineStr">
        <is>
          <t>BOXHOLM</t>
        </is>
      </c>
      <c r="H242" t="inlineStr">
        <is>
          <t>Övriga Aktiebolag</t>
        </is>
      </c>
      <c r="I242" t="n">
        <v>2.4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14789-2026</t>
        </is>
      </c>
      <c r="B243" t="inlineStr">
        <is>
          <t>avverkningsanmälan</t>
        </is>
      </c>
      <c r="C243" t="inlineStr">
        <is>
          <t>Avverkning för att bevara och utveckla /försöksver</t>
        </is>
      </c>
      <c r="D243" s="1" t="n">
        <v>46101</v>
      </c>
      <c r="E243" s="1" t="n">
        <v>46324</v>
      </c>
      <c r="F243" t="inlineStr">
        <is>
          <t>ÖSTERGÖTLANDS LÄN</t>
        </is>
      </c>
      <c r="G243" t="inlineStr">
        <is>
          <t>BOXHOLM</t>
        </is>
      </c>
      <c r="H243" t="inlineStr">
        <is>
          <t>Övriga Aktiebolag</t>
        </is>
      </c>
      <c r="I243" t="n">
        <v>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966-2024</t>
        </is>
      </c>
      <c r="B244" t="inlineStr">
        <is>
          <t>avverkningsanmälan</t>
        </is>
      </c>
      <c r="C244" t="inlineStr">
        <is>
          <t>Föryngringsavverkning</t>
        </is>
      </c>
      <c r="D244" s="1" t="n">
        <v>45301</v>
      </c>
      <c r="E244" s="1" t="n">
        <v>46324</v>
      </c>
      <c r="F244" t="inlineStr">
        <is>
          <t>ÖSTERGÖTLANDS LÄN</t>
        </is>
      </c>
      <c r="G244" t="inlineStr">
        <is>
          <t>BOXHOLM</t>
        </is>
      </c>
      <c r="I244" t="n">
        <v>2.8</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40294-2024</t>
        </is>
      </c>
      <c r="B245" t="inlineStr">
        <is>
          <t>avverkningsanmälan</t>
        </is>
      </c>
      <c r="C245" t="inlineStr">
        <is>
          <t>Föryngringsavverkning</t>
        </is>
      </c>
      <c r="D245" s="1" t="n">
        <v>45554</v>
      </c>
      <c r="E245" s="1" t="n">
        <v>46324</v>
      </c>
      <c r="F245" t="inlineStr">
        <is>
          <t>ÖSTERGÖTLANDS LÄN</t>
        </is>
      </c>
      <c r="G245" t="inlineStr">
        <is>
          <t>BOXHOLM</t>
        </is>
      </c>
      <c r="I245" t="n">
        <v>1.8</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21385-2025</t>
        </is>
      </c>
      <c r="B246" t="inlineStr">
        <is>
          <t>avverkningsanmälan</t>
        </is>
      </c>
      <c r="C246" t="inlineStr">
        <is>
          <t>Föryngringsavverkning</t>
        </is>
      </c>
      <c r="D246" s="1" t="n">
        <v>45782</v>
      </c>
      <c r="E246" s="1" t="n">
        <v>46324</v>
      </c>
      <c r="F246" t="inlineStr">
        <is>
          <t>ÖSTERGÖTLANDS LÄN</t>
        </is>
      </c>
      <c r="G246" t="inlineStr">
        <is>
          <t>BOXHOLM</t>
        </is>
      </c>
      <c r="I246" t="n">
        <v>0.6</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31249-2026</t>
        </is>
      </c>
      <c r="B247" t="inlineStr">
        <is>
          <t>avverkningsanmälan</t>
        </is>
      </c>
      <c r="C247" t="inlineStr">
        <is>
          <t>Föryngringsavverkning</t>
        </is>
      </c>
      <c r="D247" s="1" t="n">
        <v>46218</v>
      </c>
      <c r="E247" s="1" t="n">
        <v>46324</v>
      </c>
      <c r="F247" t="inlineStr">
        <is>
          <t>ÖSTERGÖTLANDS LÄN</t>
        </is>
      </c>
      <c r="G247" t="inlineStr">
        <is>
          <t>BOXHOLM</t>
        </is>
      </c>
      <c r="I247" t="n">
        <v>2.3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6884-2024</t>
        </is>
      </c>
      <c r="B248" t="inlineStr">
        <is>
          <t>avverkningsanmälan</t>
        </is>
      </c>
      <c r="C248" t="inlineStr">
        <is>
          <t>Föryngringsavverkning</t>
        </is>
      </c>
      <c r="D248" s="1" t="n">
        <v>45342</v>
      </c>
      <c r="E248" s="1" t="n">
        <v>46324</v>
      </c>
      <c r="F248" t="inlineStr">
        <is>
          <t>ÖSTERGÖTLANDS LÄN</t>
        </is>
      </c>
      <c r="G248" t="inlineStr">
        <is>
          <t>BOXHOLM</t>
        </is>
      </c>
      <c r="I248" t="n">
        <v>2.5</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35648-2023</t>
        </is>
      </c>
      <c r="B249" t="inlineStr">
        <is>
          <t>avverkningsanmälan</t>
        </is>
      </c>
      <c r="C249" t="inlineStr">
        <is>
          <t>Föryngringsavverkning</t>
        </is>
      </c>
      <c r="D249" s="1" t="n">
        <v>45147</v>
      </c>
      <c r="E249" s="1" t="n">
        <v>46324</v>
      </c>
      <c r="F249" t="inlineStr">
        <is>
          <t>ÖSTERGÖTLANDS LÄN</t>
        </is>
      </c>
      <c r="G249" t="inlineStr">
        <is>
          <t>BOXHOLM</t>
        </is>
      </c>
      <c r="I249" t="n">
        <v>5</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25892-2026</t>
        </is>
      </c>
      <c r="B250" t="inlineStr">
        <is>
          <t>avverkningsanmälan</t>
        </is>
      </c>
      <c r="C250" t="inlineStr">
        <is>
          <t>Föryngringsavverkning</t>
        </is>
      </c>
      <c r="D250" s="1" t="n">
        <v>46178</v>
      </c>
      <c r="E250" s="1" t="n">
        <v>46324</v>
      </c>
      <c r="F250" t="inlineStr">
        <is>
          <t>ÖSTERGÖTLANDS LÄN</t>
        </is>
      </c>
      <c r="G250" t="inlineStr">
        <is>
          <t>BOXHOLM</t>
        </is>
      </c>
      <c r="H250" t="inlineStr">
        <is>
          <t>Övriga Aktiebolag</t>
        </is>
      </c>
      <c r="I250" t="n">
        <v>6.5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58738-2025</t>
        </is>
      </c>
      <c r="B251" t="inlineStr">
        <is>
          <t>avverkningsanmälan</t>
        </is>
      </c>
      <c r="C251" t="inlineStr">
        <is>
          <t>Föryngringsavverkning</t>
        </is>
      </c>
      <c r="D251" s="1" t="n">
        <v>45986</v>
      </c>
      <c r="E251" s="1" t="n">
        <v>46324</v>
      </c>
      <c r="F251" t="inlineStr">
        <is>
          <t>ÖSTERGÖTLANDS LÄN</t>
        </is>
      </c>
      <c r="G251" t="inlineStr">
        <is>
          <t>BOXHOLM</t>
        </is>
      </c>
      <c r="H251" t="inlineStr">
        <is>
          <t>Allmännings- och besparingsskogar</t>
        </is>
      </c>
      <c r="I251" t="n">
        <v>1.8</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31710-2026</t>
        </is>
      </c>
      <c r="B252" t="inlineStr">
        <is>
          <t>avverkningsanmälan</t>
        </is>
      </c>
      <c r="C252" t="inlineStr">
        <is>
          <t>Föryngringsavverkning</t>
        </is>
      </c>
      <c r="D252" s="1" t="n">
        <v>46226</v>
      </c>
      <c r="E252" s="1" t="n">
        <v>46324</v>
      </c>
      <c r="F252" t="inlineStr">
        <is>
          <t>ÖSTERGÖTLANDS LÄN</t>
        </is>
      </c>
      <c r="G252" t="inlineStr">
        <is>
          <t>BOXHOLM</t>
        </is>
      </c>
      <c r="I252" t="n">
        <v>2.1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31709-2026</t>
        </is>
      </c>
      <c r="B253" t="inlineStr">
        <is>
          <t>avverkningsanmälan</t>
        </is>
      </c>
      <c r="C253" t="inlineStr">
        <is>
          <t>Föryngringsavverkning</t>
        </is>
      </c>
      <c r="D253" s="1" t="n">
        <v>46226</v>
      </c>
      <c r="E253" s="1" t="n">
        <v>46324</v>
      </c>
      <c r="F253" t="inlineStr">
        <is>
          <t>ÖSTERGÖTLANDS LÄN</t>
        </is>
      </c>
      <c r="G253" t="inlineStr">
        <is>
          <t>BOXHOLM</t>
        </is>
      </c>
      <c r="I253" t="n">
        <v>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32354-2026</t>
        </is>
      </c>
      <c r="B254" t="inlineStr">
        <is>
          <t>avverkningsanmälan</t>
        </is>
      </c>
      <c r="C254" t="inlineStr">
        <is>
          <t>Föryngringsavverkning</t>
        </is>
      </c>
      <c r="D254" s="1" t="n">
        <v>46238</v>
      </c>
      <c r="E254" s="1" t="n">
        <v>46324</v>
      </c>
      <c r="F254" t="inlineStr">
        <is>
          <t>ÖSTERGÖTLANDS LÄN</t>
        </is>
      </c>
      <c r="G254" t="inlineStr">
        <is>
          <t>BOXHOLM</t>
        </is>
      </c>
      <c r="H254" t="inlineStr">
        <is>
          <t>Övriga Aktiebolag</t>
        </is>
      </c>
      <c r="I254" t="n">
        <v>0.9</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32359-2026</t>
        </is>
      </c>
      <c r="B255" t="inlineStr">
        <is>
          <t>avverkningsanmälan</t>
        </is>
      </c>
      <c r="C255" t="inlineStr">
        <is>
          <t>Föryngringsavverkning</t>
        </is>
      </c>
      <c r="D255" s="1" t="n">
        <v>46238</v>
      </c>
      <c r="E255" s="1" t="n">
        <v>46324</v>
      </c>
      <c r="F255" t="inlineStr">
        <is>
          <t>ÖSTERGÖTLANDS LÄN</t>
        </is>
      </c>
      <c r="G255" t="inlineStr">
        <is>
          <t>BOXHOLM</t>
        </is>
      </c>
      <c r="H255" t="inlineStr">
        <is>
          <t>Övriga Aktiebolag</t>
        </is>
      </c>
      <c r="I255" t="n">
        <v>1.1</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957-2024</t>
        </is>
      </c>
      <c r="B256" t="inlineStr">
        <is>
          <t>avverkningsanmälan</t>
        </is>
      </c>
      <c r="C256" t="inlineStr">
        <is>
          <t>Föryngringsavverkning</t>
        </is>
      </c>
      <c r="D256" s="1" t="n">
        <v>45301</v>
      </c>
      <c r="E256" s="1" t="n">
        <v>46324</v>
      </c>
      <c r="F256" t="inlineStr">
        <is>
          <t>ÖSTERGÖTLANDS LÄN</t>
        </is>
      </c>
      <c r="G256" t="inlineStr">
        <is>
          <t>BOXHOLM</t>
        </is>
      </c>
      <c r="I256" t="n">
        <v>0.7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7061-2024</t>
        </is>
      </c>
      <c r="B257" t="inlineStr">
        <is>
          <t>avverkningsanmälan</t>
        </is>
      </c>
      <c r="C257" t="inlineStr">
        <is>
          <t>Föryngringsavverkning</t>
        </is>
      </c>
      <c r="D257" s="1" t="n">
        <v>45343</v>
      </c>
      <c r="E257" s="1" t="n">
        <v>46324</v>
      </c>
      <c r="F257" t="inlineStr">
        <is>
          <t>ÖSTERGÖTLANDS LÄN</t>
        </is>
      </c>
      <c r="G257" t="inlineStr">
        <is>
          <t>BOXHOLM</t>
        </is>
      </c>
      <c r="H257" t="inlineStr">
        <is>
          <t>Allmännings- och besparingsskogar</t>
        </is>
      </c>
      <c r="I257" t="n">
        <v>1.3</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46237-2024</t>
        </is>
      </c>
      <c r="B258" t="inlineStr">
        <is>
          <t>avverkningsanmälan</t>
        </is>
      </c>
      <c r="C258" t="inlineStr">
        <is>
          <t>Föryngringsavverkning</t>
        </is>
      </c>
      <c r="D258" s="1" t="n">
        <v>45581</v>
      </c>
      <c r="E258" s="1" t="n">
        <v>46324</v>
      </c>
      <c r="F258" t="inlineStr">
        <is>
          <t>ÖSTERGÖTLANDS LÄN</t>
        </is>
      </c>
      <c r="G258" t="inlineStr">
        <is>
          <t>BOXHOLM</t>
        </is>
      </c>
      <c r="I258" t="n">
        <v>6.2</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32459-2026</t>
        </is>
      </c>
      <c r="B259" t="inlineStr">
        <is>
          <t>avverkningsanmälan</t>
        </is>
      </c>
      <c r="C259" t="inlineStr">
        <is>
          <t>Avverkning för annat ändamål</t>
        </is>
      </c>
      <c r="D259" s="1" t="n">
        <v>46239</v>
      </c>
      <c r="E259" s="1" t="n">
        <v>46324</v>
      </c>
      <c r="F259" t="inlineStr">
        <is>
          <t>ÖSTERGÖTLANDS LÄN</t>
        </is>
      </c>
      <c r="G259" t="inlineStr">
        <is>
          <t>BOXHOLM</t>
        </is>
      </c>
      <c r="H259" t="inlineStr">
        <is>
          <t>Övriga Aktiebolag</t>
        </is>
      </c>
      <c r="I259" t="n">
        <v>0.4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27305-2026</t>
        </is>
      </c>
      <c r="B260" t="inlineStr">
        <is>
          <t>avverkningsanmälan</t>
        </is>
      </c>
      <c r="C260" t="inlineStr">
        <is>
          <t>Avverkning för att bevara och utveckla /försöksver</t>
        </is>
      </c>
      <c r="D260" s="1" t="n">
        <v>46188</v>
      </c>
      <c r="E260" s="1" t="n">
        <v>46324</v>
      </c>
      <c r="F260" t="inlineStr">
        <is>
          <t>ÖSTERGÖTLANDS LÄN</t>
        </is>
      </c>
      <c r="G260" t="inlineStr">
        <is>
          <t>BOXHOLM</t>
        </is>
      </c>
      <c r="H260" t="inlineStr">
        <is>
          <t>Övriga Aktiebolag</t>
        </is>
      </c>
      <c r="I260" t="n">
        <v>0.8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49119-2025</t>
        </is>
      </c>
      <c r="B261" t="inlineStr">
        <is>
          <t>avverkningsanmälan</t>
        </is>
      </c>
      <c r="C261" t="inlineStr">
        <is>
          <t>Föryngringsavverkning</t>
        </is>
      </c>
      <c r="D261" s="1" t="n">
        <v>45937</v>
      </c>
      <c r="E261" s="1" t="n">
        <v>46324</v>
      </c>
      <c r="F261" t="inlineStr">
        <is>
          <t>ÖSTERGÖTLANDS LÄN</t>
        </is>
      </c>
      <c r="G261" t="inlineStr">
        <is>
          <t>BOXHOLM</t>
        </is>
      </c>
      <c r="I261" t="n">
        <v>2.8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44896-2023</t>
        </is>
      </c>
      <c r="B262" t="inlineStr">
        <is>
          <t>avverkningsanmälan</t>
        </is>
      </c>
      <c r="C262" t="inlineStr">
        <is>
          <t>Föryngringsavverkning</t>
        </is>
      </c>
      <c r="D262" s="1" t="n">
        <v>45190</v>
      </c>
      <c r="E262" s="1" t="n">
        <v>46324</v>
      </c>
      <c r="F262" t="inlineStr">
        <is>
          <t>ÖSTERGÖTLANDS LÄN</t>
        </is>
      </c>
      <c r="G262" t="inlineStr">
        <is>
          <t>BOXHOLM</t>
        </is>
      </c>
      <c r="H262" t="inlineStr">
        <is>
          <t>Allmännings- och besparingsskogar</t>
        </is>
      </c>
      <c r="I262" t="n">
        <v>1.3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32545-2026</t>
        </is>
      </c>
      <c r="B263" t="inlineStr">
        <is>
          <t>avverkningsanmälan</t>
        </is>
      </c>
      <c r="C263" t="inlineStr">
        <is>
          <t>Föryngringsavverkning</t>
        </is>
      </c>
      <c r="D263" s="1" t="n">
        <v>46239</v>
      </c>
      <c r="E263" s="1" t="n">
        <v>46324</v>
      </c>
      <c r="F263" t="inlineStr">
        <is>
          <t>ÖSTERGÖTLANDS LÄN</t>
        </is>
      </c>
      <c r="G263" t="inlineStr">
        <is>
          <t>BOXHOLM</t>
        </is>
      </c>
      <c r="H263" t="inlineStr">
        <is>
          <t>Övriga Aktiebolag</t>
        </is>
      </c>
      <c r="I263" t="n">
        <v>0.8</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37578-2022</t>
        </is>
      </c>
      <c r="B264" t="inlineStr">
        <is>
          <t>avverkningsanmälan</t>
        </is>
      </c>
      <c r="C264" t="inlineStr">
        <is>
          <t>Föryngringsavverkning</t>
        </is>
      </c>
      <c r="D264" s="1" t="n">
        <v>44809</v>
      </c>
      <c r="E264" s="1" t="n">
        <v>46324</v>
      </c>
      <c r="F264" t="inlineStr">
        <is>
          <t>ÖSTERGÖTLANDS LÄN</t>
        </is>
      </c>
      <c r="G264" t="inlineStr">
        <is>
          <t>BOXHOLM</t>
        </is>
      </c>
      <c r="I264" t="n">
        <v>2.4</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39035-2023</t>
        </is>
      </c>
      <c r="B265" t="inlineStr">
        <is>
          <t>avverkningsanmälan</t>
        </is>
      </c>
      <c r="C265" t="inlineStr">
        <is>
          <t>Föryngringsavverkning</t>
        </is>
      </c>
      <c r="D265" s="1" t="n">
        <v>45163</v>
      </c>
      <c r="E265" s="1" t="n">
        <v>46324</v>
      </c>
      <c r="F265" t="inlineStr">
        <is>
          <t>ÖSTERGÖTLANDS LÄN</t>
        </is>
      </c>
      <c r="G265" t="inlineStr">
        <is>
          <t>BOXHOLM</t>
        </is>
      </c>
      <c r="H265" t="inlineStr">
        <is>
          <t>Allmännings- och besparingsskogar</t>
        </is>
      </c>
      <c r="I265" t="n">
        <v>2.2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31250-2026</t>
        </is>
      </c>
      <c r="B266" t="inlineStr">
        <is>
          <t>avverkningsanmälan</t>
        </is>
      </c>
      <c r="C266" t="inlineStr">
        <is>
          <t>Föryngringsavverkning</t>
        </is>
      </c>
      <c r="D266" s="1" t="n">
        <v>46218</v>
      </c>
      <c r="E266" s="1" t="n">
        <v>46324</v>
      </c>
      <c r="F266" t="inlineStr">
        <is>
          <t>ÖSTERGÖTLANDS LÄN</t>
        </is>
      </c>
      <c r="G266" t="inlineStr">
        <is>
          <t>BOXHOLM</t>
        </is>
      </c>
      <c r="I266" t="n">
        <v>6.5</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38822-2026</t>
        </is>
      </c>
      <c r="B267" t="inlineStr">
        <is>
          <t>avverkningsanmälan</t>
        </is>
      </c>
      <c r="C267" t="inlineStr">
        <is>
          <t>Föryngringsavverkning</t>
        </is>
      </c>
      <c r="D267" s="1" t="n">
        <v>46286</v>
      </c>
      <c r="E267" s="1" t="n">
        <v>46324</v>
      </c>
      <c r="F267" t="inlineStr">
        <is>
          <t>ÖSTERGÖTLANDS LÄN</t>
        </is>
      </c>
      <c r="G267" t="inlineStr">
        <is>
          <t>BOXHOLM</t>
        </is>
      </c>
      <c r="H267" t="inlineStr">
        <is>
          <t>Övriga Aktiebolag</t>
        </is>
      </c>
      <c r="I267" t="n">
        <v>1.6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38819-2026</t>
        </is>
      </c>
      <c r="B268" t="inlineStr">
        <is>
          <t>avverkningsanmälan</t>
        </is>
      </c>
      <c r="C268" t="inlineStr">
        <is>
          <t>Föryngringsavverkning</t>
        </is>
      </c>
      <c r="D268" s="1" t="n">
        <v>46286</v>
      </c>
      <c r="E268" s="1" t="n">
        <v>46324</v>
      </c>
      <c r="F268" t="inlineStr">
        <is>
          <t>ÖSTERGÖTLANDS LÄN</t>
        </is>
      </c>
      <c r="G268" t="inlineStr">
        <is>
          <t>BOXHOLM</t>
        </is>
      </c>
      <c r="H268" t="inlineStr">
        <is>
          <t>Övriga Aktiebolag</t>
        </is>
      </c>
      <c r="I268" t="n">
        <v>1.6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33031-2026</t>
        </is>
      </c>
      <c r="B269" t="inlineStr">
        <is>
          <t>avverkningsanmälan</t>
        </is>
      </c>
      <c r="C269" t="inlineStr">
        <is>
          <t>Föryngringsavverkning</t>
        </is>
      </c>
      <c r="D269" s="1" t="n">
        <v>46244</v>
      </c>
      <c r="E269" s="1" t="n">
        <v>46324</v>
      </c>
      <c r="F269" t="inlineStr">
        <is>
          <t>ÖSTERGÖTLANDS LÄN</t>
        </is>
      </c>
      <c r="G269" t="inlineStr">
        <is>
          <t>BOXHOLM</t>
        </is>
      </c>
      <c r="I269" t="n">
        <v>2.8</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50026-2025</t>
        </is>
      </c>
      <c r="B270" t="inlineStr">
        <is>
          <t>avverkningsanmälan</t>
        </is>
      </c>
      <c r="C270" t="inlineStr">
        <is>
          <t>Avverkning för att bevara och utveckla /försöksver</t>
        </is>
      </c>
      <c r="D270" s="1" t="n">
        <v>45943</v>
      </c>
      <c r="E270" s="1" t="n">
        <v>46324</v>
      </c>
      <c r="F270" t="inlineStr">
        <is>
          <t>ÖSTERGÖTLANDS LÄN</t>
        </is>
      </c>
      <c r="G270" t="inlineStr">
        <is>
          <t>BOXHOLM</t>
        </is>
      </c>
      <c r="H270" t="inlineStr">
        <is>
          <t>Övriga Aktiebolag</t>
        </is>
      </c>
      <c r="I270" t="n">
        <v>2</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34839-2023</t>
        </is>
      </c>
      <c r="B271" t="inlineStr">
        <is>
          <t>avverkningsanmälan</t>
        </is>
      </c>
      <c r="C271" t="inlineStr">
        <is>
          <t>Föryngringsavverkning</t>
        </is>
      </c>
      <c r="D271" s="1" t="n">
        <v>45141</v>
      </c>
      <c r="E271" s="1" t="n">
        <v>46324</v>
      </c>
      <c r="F271" t="inlineStr">
        <is>
          <t>ÖSTERGÖTLANDS LÄN</t>
        </is>
      </c>
      <c r="G271" t="inlineStr">
        <is>
          <t>BOXHOLM</t>
        </is>
      </c>
      <c r="I271" t="n">
        <v>2.6</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37108-2026</t>
        </is>
      </c>
      <c r="B272" t="inlineStr">
        <is>
          <t>avverkningsanmälan</t>
        </is>
      </c>
      <c r="C272" t="inlineStr">
        <is>
          <t>Föryngringsavverkning</t>
        </is>
      </c>
      <c r="D272" s="1" t="n">
        <v>46274</v>
      </c>
      <c r="E272" s="1" t="n">
        <v>46324</v>
      </c>
      <c r="F272" t="inlineStr">
        <is>
          <t>ÖSTERGÖTLANDS LÄN</t>
        </is>
      </c>
      <c r="G272" t="inlineStr">
        <is>
          <t>BOXHOLM</t>
        </is>
      </c>
      <c r="I272" t="n">
        <v>7.1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15476-2023</t>
        </is>
      </c>
      <c r="B273" t="inlineStr">
        <is>
          <t>avverkningsanmälan</t>
        </is>
      </c>
      <c r="C273" t="inlineStr">
        <is>
          <t>Föryngringsavverkning</t>
        </is>
      </c>
      <c r="D273" s="1" t="n">
        <v>45020</v>
      </c>
      <c r="E273" s="1" t="n">
        <v>46324</v>
      </c>
      <c r="F273" t="inlineStr">
        <is>
          <t>ÖSTERGÖTLANDS LÄN</t>
        </is>
      </c>
      <c r="G273" t="inlineStr">
        <is>
          <t>BOXHOLM</t>
        </is>
      </c>
      <c r="I273" t="n">
        <v>0</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21436-2025</t>
        </is>
      </c>
      <c r="B274" t="inlineStr">
        <is>
          <t>avverkningsanmälan</t>
        </is>
      </c>
      <c r="C274" t="inlineStr">
        <is>
          <t>Föryngringsavverkning</t>
        </is>
      </c>
      <c r="D274" s="1" t="n">
        <v>45782</v>
      </c>
      <c r="E274" s="1" t="n">
        <v>46324</v>
      </c>
      <c r="F274" t="inlineStr">
        <is>
          <t>ÖSTERGÖTLANDS LÄN</t>
        </is>
      </c>
      <c r="G274" t="inlineStr">
        <is>
          <t>BOXHOLM</t>
        </is>
      </c>
      <c r="I274" t="n">
        <v>4.1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33011-2026</t>
        </is>
      </c>
      <c r="B275" t="inlineStr">
        <is>
          <t>avverkningsanmälan</t>
        </is>
      </c>
      <c r="C275" t="inlineStr">
        <is>
          <t>Föryngringsavverkning</t>
        </is>
      </c>
      <c r="D275" s="1" t="n">
        <v>46244</v>
      </c>
      <c r="E275" s="1" t="n">
        <v>46324</v>
      </c>
      <c r="F275" t="inlineStr">
        <is>
          <t>ÖSTERGÖTLANDS LÄN</t>
        </is>
      </c>
      <c r="G275" t="inlineStr">
        <is>
          <t>BOXHOLM</t>
        </is>
      </c>
      <c r="I275" t="n">
        <v>18</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39722-2026</t>
        </is>
      </c>
      <c r="B276" t="inlineStr">
        <is>
          <t>avverkningsanmälan</t>
        </is>
      </c>
      <c r="C276" t="inlineStr">
        <is>
          <t>Föryngringsavverkning</t>
        </is>
      </c>
      <c r="D276" s="1" t="n">
        <v>46290</v>
      </c>
      <c r="E276" s="1" t="n">
        <v>46324</v>
      </c>
      <c r="F276" t="inlineStr">
        <is>
          <t>ÖSTERGÖTLANDS LÄN</t>
        </is>
      </c>
      <c r="G276" t="inlineStr">
        <is>
          <t>BOXHOLM</t>
        </is>
      </c>
      <c r="I276" t="n">
        <v>0.9</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46519-2025</t>
        </is>
      </c>
      <c r="B277" t="inlineStr">
        <is>
          <t>avverkningsanmälan</t>
        </is>
      </c>
      <c r="C277" t="inlineStr">
        <is>
          <t>Föryngringsavverkning</t>
        </is>
      </c>
      <c r="D277" s="1" t="n">
        <v>45924</v>
      </c>
      <c r="E277" s="1" t="n">
        <v>46324</v>
      </c>
      <c r="F277" t="inlineStr">
        <is>
          <t>ÖSTERGÖTLANDS LÄN</t>
        </is>
      </c>
      <c r="G277" t="inlineStr">
        <is>
          <t>BOXHOLM</t>
        </is>
      </c>
      <c r="I277" t="n">
        <v>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33389-2026</t>
        </is>
      </c>
      <c r="B278" t="inlineStr">
        <is>
          <t>avverkningsanmälan</t>
        </is>
      </c>
      <c r="C278" t="inlineStr">
        <is>
          <t>Föryngringsavverkning</t>
        </is>
      </c>
      <c r="D278" s="1" t="n">
        <v>46247</v>
      </c>
      <c r="E278" s="1" t="n">
        <v>46324</v>
      </c>
      <c r="F278" t="inlineStr">
        <is>
          <t>ÖSTERGÖTLANDS LÄN</t>
        </is>
      </c>
      <c r="G278" t="inlineStr">
        <is>
          <t>BOXHOLM</t>
        </is>
      </c>
      <c r="H278" t="inlineStr">
        <is>
          <t>Övriga Aktiebolag</t>
        </is>
      </c>
      <c r="I278" t="n">
        <v>2.8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21151-2023</t>
        </is>
      </c>
      <c r="B279" t="inlineStr">
        <is>
          <t>avverkningsanmälan</t>
        </is>
      </c>
      <c r="C279" t="inlineStr">
        <is>
          <t>Föryngringsavverkning</t>
        </is>
      </c>
      <c r="D279" s="1" t="n">
        <v>45062</v>
      </c>
      <c r="E279" s="1" t="n">
        <v>46324</v>
      </c>
      <c r="F279" t="inlineStr">
        <is>
          <t>ÖSTERGÖTLANDS LÄN</t>
        </is>
      </c>
      <c r="G279" t="inlineStr">
        <is>
          <t>BOXHOLM</t>
        </is>
      </c>
      <c r="I279" t="n">
        <v>1.8</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25230-2023</t>
        </is>
      </c>
      <c r="B280" t="inlineStr">
        <is>
          <t>avverkningsanmälan</t>
        </is>
      </c>
      <c r="C280" t="inlineStr">
        <is>
          <t>Föryngringsavverkning</t>
        </is>
      </c>
      <c r="D280" s="1" t="n">
        <v>45086</v>
      </c>
      <c r="E280" s="1" t="n">
        <v>46324</v>
      </c>
      <c r="F280" t="inlineStr">
        <is>
          <t>ÖSTERGÖTLANDS LÄN</t>
        </is>
      </c>
      <c r="G280" t="inlineStr">
        <is>
          <t>BOXHOLM</t>
        </is>
      </c>
      <c r="I280" t="n">
        <v>1.8</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10315-2025</t>
        </is>
      </c>
      <c r="B281" t="inlineStr">
        <is>
          <t>avverkningsanmälan</t>
        </is>
      </c>
      <c r="C281" t="inlineStr">
        <is>
          <t>Föryngringsavverkning</t>
        </is>
      </c>
      <c r="D281" s="1" t="n">
        <v>45720</v>
      </c>
      <c r="E281" s="1" t="n">
        <v>46324</v>
      </c>
      <c r="F281" t="inlineStr">
        <is>
          <t>ÖSTERGÖTLANDS LÄN</t>
        </is>
      </c>
      <c r="G281" t="inlineStr">
        <is>
          <t>BOXHOLM</t>
        </is>
      </c>
      <c r="I281" t="n">
        <v>2.7</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39721-2026</t>
        </is>
      </c>
      <c r="B282" t="inlineStr">
        <is>
          <t>avverkningsanmälan</t>
        </is>
      </c>
      <c r="C282" t="inlineStr">
        <is>
          <t>Föryngringsavverkning</t>
        </is>
      </c>
      <c r="D282" s="1" t="n">
        <v>46290</v>
      </c>
      <c r="E282" s="1" t="n">
        <v>46324</v>
      </c>
      <c r="F282" t="inlineStr">
        <is>
          <t>ÖSTERGÖTLANDS LÄN</t>
        </is>
      </c>
      <c r="G282" t="inlineStr">
        <is>
          <t>BOXHOLM</t>
        </is>
      </c>
      <c r="I282" t="n">
        <v>3.7</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33613-2026</t>
        </is>
      </c>
      <c r="B283" t="inlineStr">
        <is>
          <t>avverkningsanmälan</t>
        </is>
      </c>
      <c r="C283" t="inlineStr">
        <is>
          <t>Föryngringsavverkning</t>
        </is>
      </c>
      <c r="D283" s="1" t="n">
        <v>46248</v>
      </c>
      <c r="E283" s="1" t="n">
        <v>46324</v>
      </c>
      <c r="F283" t="inlineStr">
        <is>
          <t>ÖSTERGÖTLANDS LÄN</t>
        </is>
      </c>
      <c r="G283" t="inlineStr">
        <is>
          <t>BOXHOLM</t>
        </is>
      </c>
      <c r="H283" t="inlineStr">
        <is>
          <t>Övriga Aktiebolag</t>
        </is>
      </c>
      <c r="I283" t="n">
        <v>3.3</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33396-2026</t>
        </is>
      </c>
      <c r="B284" t="inlineStr">
        <is>
          <t>avverkningsanmälan</t>
        </is>
      </c>
      <c r="C284" t="inlineStr">
        <is>
          <t>Avverkning för att bevara och utveckla /försöksver</t>
        </is>
      </c>
      <c r="D284" s="1" t="n">
        <v>46247</v>
      </c>
      <c r="E284" s="1" t="n">
        <v>46324</v>
      </c>
      <c r="F284" t="inlineStr">
        <is>
          <t>ÖSTERGÖTLANDS LÄN</t>
        </is>
      </c>
      <c r="G284" t="inlineStr">
        <is>
          <t>BOXHOLM</t>
        </is>
      </c>
      <c r="H284" t="inlineStr">
        <is>
          <t>Övriga Aktiebolag</t>
        </is>
      </c>
      <c r="I284" t="n">
        <v>1.6</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35345-2023</t>
        </is>
      </c>
      <c r="B285" t="inlineStr">
        <is>
          <t>avverkningsanmälan</t>
        </is>
      </c>
      <c r="C285" t="inlineStr">
        <is>
          <t>Föryngringsavverkning</t>
        </is>
      </c>
      <c r="D285" s="1" t="n">
        <v>45146</v>
      </c>
      <c r="E285" s="1" t="n">
        <v>46324</v>
      </c>
      <c r="F285" t="inlineStr">
        <is>
          <t>ÖSTERGÖTLANDS LÄN</t>
        </is>
      </c>
      <c r="G285" t="inlineStr">
        <is>
          <t>BOXHOLM</t>
        </is>
      </c>
      <c r="I285" t="n">
        <v>1.3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60797-2023</t>
        </is>
      </c>
      <c r="B286" t="inlineStr">
        <is>
          <t>avverkningsanmälan</t>
        </is>
      </c>
      <c r="C286" t="inlineStr">
        <is>
          <t>Föryngringsavverkning</t>
        </is>
      </c>
      <c r="D286" s="1" t="n">
        <v>45259</v>
      </c>
      <c r="E286" s="1" t="n">
        <v>46324</v>
      </c>
      <c r="F286" t="inlineStr">
        <is>
          <t>ÖSTERGÖTLANDS LÄN</t>
        </is>
      </c>
      <c r="G286" t="inlineStr">
        <is>
          <t>BOXHOLM</t>
        </is>
      </c>
      <c r="I286" t="n">
        <v>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6239-2025</t>
        </is>
      </c>
      <c r="B287" t="inlineStr">
        <is>
          <t>avverkningsanmälan</t>
        </is>
      </c>
      <c r="C287" t="inlineStr">
        <is>
          <t>Föryngringsavverkning</t>
        </is>
      </c>
      <c r="D287" s="1" t="n">
        <v>45698</v>
      </c>
      <c r="E287" s="1" t="n">
        <v>46324</v>
      </c>
      <c r="F287" t="inlineStr">
        <is>
          <t>ÖSTERGÖTLANDS LÄN</t>
        </is>
      </c>
      <c r="G287" t="inlineStr">
        <is>
          <t>BOXHOLM</t>
        </is>
      </c>
      <c r="H287" t="inlineStr">
        <is>
          <t>Övriga Aktiebolag</t>
        </is>
      </c>
      <c r="I287" t="n">
        <v>3.7</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33705-2026</t>
        </is>
      </c>
      <c r="B288" t="inlineStr">
        <is>
          <t>avverkningsanmälan</t>
        </is>
      </c>
      <c r="C288" t="inlineStr">
        <is>
          <t>Föryngringsavverkning</t>
        </is>
      </c>
      <c r="D288" s="1" t="n">
        <v>46251</v>
      </c>
      <c r="E288" s="1" t="n">
        <v>46324</v>
      </c>
      <c r="F288" t="inlineStr">
        <is>
          <t>ÖSTERGÖTLANDS LÄN</t>
        </is>
      </c>
      <c r="G288" t="inlineStr">
        <is>
          <t>BOXHOLM</t>
        </is>
      </c>
      <c r="H288" t="inlineStr">
        <is>
          <t>Övriga Aktiebolag</t>
        </is>
      </c>
      <c r="I288" t="n">
        <v>9.4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51359-2024</t>
        </is>
      </c>
      <c r="B289" t="inlineStr">
        <is>
          <t>avverkningsanmälan</t>
        </is>
      </c>
      <c r="C289" t="inlineStr">
        <is>
          <t>Föryngringsavverkning</t>
        </is>
      </c>
      <c r="D289" s="1" t="n">
        <v>45604</v>
      </c>
      <c r="E289" s="1" t="n">
        <v>46324</v>
      </c>
      <c r="F289" t="inlineStr">
        <is>
          <t>ÖSTERGÖTLANDS LÄN</t>
        </is>
      </c>
      <c r="G289" t="inlineStr">
        <is>
          <t>BOXHOLM</t>
        </is>
      </c>
      <c r="I289" t="n">
        <v>0.9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23857-2023</t>
        </is>
      </c>
      <c r="B290" t="inlineStr">
        <is>
          <t>avverkningsanmälan</t>
        </is>
      </c>
      <c r="C290" t="inlineStr">
        <is>
          <t>Föryngringsavverkning</t>
        </is>
      </c>
      <c r="D290" s="1" t="n">
        <v>45078</v>
      </c>
      <c r="E290" s="1" t="n">
        <v>46324</v>
      </c>
      <c r="F290" t="inlineStr">
        <is>
          <t>ÖSTERGÖTLANDS LÄN</t>
        </is>
      </c>
      <c r="G290" t="inlineStr">
        <is>
          <t>BOXHOLM</t>
        </is>
      </c>
      <c r="H290" t="inlineStr">
        <is>
          <t>Övriga Aktiebolag</t>
        </is>
      </c>
      <c r="I290" t="n">
        <v>2.4</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25944-2024</t>
        </is>
      </c>
      <c r="B291" t="inlineStr">
        <is>
          <t>avverkningsanmälan</t>
        </is>
      </c>
      <c r="C291" t="inlineStr">
        <is>
          <t>Föryngringsavverkning</t>
        </is>
      </c>
      <c r="D291" s="1" t="n">
        <v>45467</v>
      </c>
      <c r="E291" s="1" t="n">
        <v>46324</v>
      </c>
      <c r="F291" t="inlineStr">
        <is>
          <t>ÖSTERGÖTLANDS LÄN</t>
        </is>
      </c>
      <c r="G291" t="inlineStr">
        <is>
          <t>BOXHOLM</t>
        </is>
      </c>
      <c r="I291" t="n">
        <v>7.1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41290-2026</t>
        </is>
      </c>
      <c r="B292" t="inlineStr">
        <is>
          <t>avverkningsanmälan</t>
        </is>
      </c>
      <c r="C292" t="inlineStr">
        <is>
          <t>Föryngringsavverkning</t>
        </is>
      </c>
      <c r="D292" s="1" t="n">
        <v>46300</v>
      </c>
      <c r="E292" s="1" t="n">
        <v>46324</v>
      </c>
      <c r="F292" t="inlineStr">
        <is>
          <t>ÖSTERGÖTLANDS LÄN</t>
        </is>
      </c>
      <c r="G292" t="inlineStr">
        <is>
          <t>BOXHOLM</t>
        </is>
      </c>
      <c r="H292" t="inlineStr">
        <is>
          <t>Övriga Aktiebolag</t>
        </is>
      </c>
      <c r="I292" t="n">
        <v>0.6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12734-2025</t>
        </is>
      </c>
      <c r="B293" t="inlineStr">
        <is>
          <t>avverkningsanmälan</t>
        </is>
      </c>
      <c r="C293" t="inlineStr">
        <is>
          <t>Föryngringsavverkning</t>
        </is>
      </c>
      <c r="D293" s="1" t="n">
        <v>45733</v>
      </c>
      <c r="E293" s="1" t="n">
        <v>46324</v>
      </c>
      <c r="F293" t="inlineStr">
        <is>
          <t>ÖSTERGÖTLANDS LÄN</t>
        </is>
      </c>
      <c r="G293" t="inlineStr">
        <is>
          <t>BOXHOLM</t>
        </is>
      </c>
      <c r="I293" t="n">
        <v>0.4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39029-2023</t>
        </is>
      </c>
      <c r="B294" t="inlineStr">
        <is>
          <t>avverkningsanmälan</t>
        </is>
      </c>
      <c r="C294" t="inlineStr">
        <is>
          <t>Föryngringsavverkning</t>
        </is>
      </c>
      <c r="D294" s="1" t="n">
        <v>45163</v>
      </c>
      <c r="E294" s="1" t="n">
        <v>46324</v>
      </c>
      <c r="F294" t="inlineStr">
        <is>
          <t>ÖSTERGÖTLANDS LÄN</t>
        </is>
      </c>
      <c r="G294" t="inlineStr">
        <is>
          <t>BOXHOLM</t>
        </is>
      </c>
      <c r="H294" t="inlineStr">
        <is>
          <t>Allmännings- och besparingsskogar</t>
        </is>
      </c>
      <c r="I294" t="n">
        <v>1.1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41269-2026</t>
        </is>
      </c>
      <c r="B295" t="inlineStr">
        <is>
          <t>avverkningsanmälan</t>
        </is>
      </c>
      <c r="C295" t="inlineStr">
        <is>
          <t>Föryngringsavverkning</t>
        </is>
      </c>
      <c r="D295" s="1" t="n">
        <v>46300</v>
      </c>
      <c r="E295" s="1" t="n">
        <v>46324</v>
      </c>
      <c r="F295" t="inlineStr">
        <is>
          <t>ÖSTERGÖTLANDS LÄN</t>
        </is>
      </c>
      <c r="G295" t="inlineStr">
        <is>
          <t>BOXHOLM</t>
        </is>
      </c>
      <c r="H295" t="inlineStr">
        <is>
          <t>Övriga Aktiebolag</t>
        </is>
      </c>
      <c r="I295" t="n">
        <v>1.7</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43471-2022</t>
        </is>
      </c>
      <c r="B296" t="inlineStr">
        <is>
          <t>avverkningsanmälan</t>
        </is>
      </c>
      <c r="C296" t="inlineStr">
        <is>
          <t>Föryngringsavverkning</t>
        </is>
      </c>
      <c r="D296" s="1" t="n">
        <v>44836</v>
      </c>
      <c r="E296" s="1" t="n">
        <v>46324</v>
      </c>
      <c r="F296" t="inlineStr">
        <is>
          <t>ÖSTERGÖTLANDS LÄN</t>
        </is>
      </c>
      <c r="G296" t="inlineStr">
        <is>
          <t>BOXHOLM</t>
        </is>
      </c>
      <c r="I296" t="n">
        <v>1.1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40290-2024</t>
        </is>
      </c>
      <c r="B297" t="inlineStr">
        <is>
          <t>avverkningsanmälan</t>
        </is>
      </c>
      <c r="C297" t="inlineStr">
        <is>
          <t>Föryngringsavverkning</t>
        </is>
      </c>
      <c r="D297" s="1" t="n">
        <v>45554</v>
      </c>
      <c r="E297" s="1" t="n">
        <v>46324</v>
      </c>
      <c r="F297" t="inlineStr">
        <is>
          <t>ÖSTERGÖTLANDS LÄN</t>
        </is>
      </c>
      <c r="G297" t="inlineStr">
        <is>
          <t>BOXHOLM</t>
        </is>
      </c>
      <c r="I297" t="n">
        <v>2.2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37400-2023</t>
        </is>
      </c>
      <c r="B298" t="inlineStr">
        <is>
          <t>avverkningsanmälan</t>
        </is>
      </c>
      <c r="C298" t="inlineStr">
        <is>
          <t>Föryngringsavverkning</t>
        </is>
      </c>
      <c r="D298" s="1" t="n">
        <v>45156</v>
      </c>
      <c r="E298" s="1" t="n">
        <v>46324</v>
      </c>
      <c r="F298" t="inlineStr">
        <is>
          <t>ÖSTERGÖTLANDS LÄN</t>
        </is>
      </c>
      <c r="G298" t="inlineStr">
        <is>
          <t>BOXHOLM</t>
        </is>
      </c>
      <c r="I298" t="n">
        <v>2.1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3129-2025</t>
        </is>
      </c>
      <c r="B299" t="inlineStr">
        <is>
          <t>avverkningsanmälan</t>
        </is>
      </c>
      <c r="C299" t="inlineStr">
        <is>
          <t>Föryngringsavverkning</t>
        </is>
      </c>
      <c r="D299" s="1" t="n">
        <v>45678</v>
      </c>
      <c r="E299" s="1" t="n">
        <v>46324</v>
      </c>
      <c r="F299" t="inlineStr">
        <is>
          <t>ÖSTERGÖTLANDS LÄN</t>
        </is>
      </c>
      <c r="G299" t="inlineStr">
        <is>
          <t>BOXHOLM</t>
        </is>
      </c>
      <c r="H299" t="inlineStr">
        <is>
          <t>Allmännings- och besparingsskogar</t>
        </is>
      </c>
      <c r="I299" t="n">
        <v>2.9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19601-2023</t>
        </is>
      </c>
      <c r="B300" t="inlineStr">
        <is>
          <t>avverkningsanmälan</t>
        </is>
      </c>
      <c r="C300" t="inlineStr">
        <is>
          <t>Föryngringsavverkning</t>
        </is>
      </c>
      <c r="D300" s="1" t="n">
        <v>45050</v>
      </c>
      <c r="E300" s="1" t="n">
        <v>46324</v>
      </c>
      <c r="F300" t="inlineStr">
        <is>
          <t>ÖSTERGÖTLANDS LÄN</t>
        </is>
      </c>
      <c r="G300" t="inlineStr">
        <is>
          <t>BOXHOLM</t>
        </is>
      </c>
      <c r="I300" t="n">
        <v>7.2</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32089-2024</t>
        </is>
      </c>
      <c r="B301" t="inlineStr">
        <is>
          <t>avverkningsanmälan</t>
        </is>
      </c>
      <c r="C301" t="inlineStr">
        <is>
          <t>Föryngringsavverkning</t>
        </is>
      </c>
      <c r="D301" s="1" t="n">
        <v>45511</v>
      </c>
      <c r="E301" s="1" t="n">
        <v>46324</v>
      </c>
      <c r="F301" t="inlineStr">
        <is>
          <t>ÖSTERGÖTLANDS LÄN</t>
        </is>
      </c>
      <c r="G301" t="inlineStr">
        <is>
          <t>BOXHOLM</t>
        </is>
      </c>
      <c r="I301" t="n">
        <v>4.3</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1666-2025</t>
        </is>
      </c>
      <c r="B302" t="inlineStr">
        <is>
          <t>avverkningsanmälan</t>
        </is>
      </c>
      <c r="C302" t="inlineStr">
        <is>
          <t>Föryngringsavverkning</t>
        </is>
      </c>
      <c r="D302" s="1" t="n">
        <v>45670</v>
      </c>
      <c r="E302" s="1" t="n">
        <v>46324</v>
      </c>
      <c r="F302" t="inlineStr">
        <is>
          <t>ÖSTERGÖTLANDS LÄN</t>
        </is>
      </c>
      <c r="G302" t="inlineStr">
        <is>
          <t>BOXHOLM</t>
        </is>
      </c>
      <c r="I302" t="n">
        <v>6.8</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53356-2024</t>
        </is>
      </c>
      <c r="B303" t="inlineStr">
        <is>
          <t>avverkningsanmälan</t>
        </is>
      </c>
      <c r="C303" t="inlineStr">
        <is>
          <t>Föryngringsavverkning</t>
        </is>
      </c>
      <c r="D303" s="1" t="n">
        <v>45614</v>
      </c>
      <c r="E303" s="1" t="n">
        <v>46324</v>
      </c>
      <c r="F303" t="inlineStr">
        <is>
          <t>ÖSTERGÖTLANDS LÄN</t>
        </is>
      </c>
      <c r="G303" t="inlineStr">
        <is>
          <t>BOXHOLM</t>
        </is>
      </c>
      <c r="H303" t="inlineStr">
        <is>
          <t>Övriga Aktiebolag</t>
        </is>
      </c>
      <c r="I303" t="n">
        <v>2.1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35663-2026</t>
        </is>
      </c>
      <c r="B304" t="inlineStr">
        <is>
          <t>avverkningsanmälan</t>
        </is>
      </c>
      <c r="C304" t="inlineStr">
        <is>
          <t>Föryngringsavverkning</t>
        </is>
      </c>
      <c r="D304" s="1" t="n">
        <v>46265</v>
      </c>
      <c r="E304" s="1" t="n">
        <v>46324</v>
      </c>
      <c r="F304" t="inlineStr">
        <is>
          <t>ÖSTERGÖTLANDS LÄN</t>
        </is>
      </c>
      <c r="G304" t="inlineStr">
        <is>
          <t>BOXHOLM</t>
        </is>
      </c>
      <c r="I304" t="n">
        <v>0.6</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39191-2026</t>
        </is>
      </c>
      <c r="B305" t="inlineStr">
        <is>
          <t>avverkningsanmälan</t>
        </is>
      </c>
      <c r="C305" t="inlineStr">
        <is>
          <t>Föryngringsavverkning</t>
        </is>
      </c>
      <c r="D305" s="1" t="n">
        <v>46287</v>
      </c>
      <c r="E305" s="1" t="n">
        <v>46324</v>
      </c>
      <c r="F305" t="inlineStr">
        <is>
          <t>ÖSTERGÖTLANDS LÄN</t>
        </is>
      </c>
      <c r="G305" t="inlineStr">
        <is>
          <t>BOXHOLM</t>
        </is>
      </c>
      <c r="I305" t="n">
        <v>2.5</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43824-2023</t>
        </is>
      </c>
      <c r="B306" t="inlineStr">
        <is>
          <t>avverkningsanmälan</t>
        </is>
      </c>
      <c r="C306" t="inlineStr">
        <is>
          <t>Föryngringsavverkning</t>
        </is>
      </c>
      <c r="D306" s="1" t="n">
        <v>45187</v>
      </c>
      <c r="E306" s="1" t="n">
        <v>46324</v>
      </c>
      <c r="F306" t="inlineStr">
        <is>
          <t>ÖSTERGÖTLANDS LÄN</t>
        </is>
      </c>
      <c r="G306" t="inlineStr">
        <is>
          <t>BOXHOLM</t>
        </is>
      </c>
      <c r="I306" t="n">
        <v>1.6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19356-2022</t>
        </is>
      </c>
      <c r="B307" t="inlineStr">
        <is>
          <t>avverkningsanmälan</t>
        </is>
      </c>
      <c r="C307" t="inlineStr">
        <is>
          <t>Föryngringsavverkning</t>
        </is>
      </c>
      <c r="D307" s="1" t="n">
        <v>44692</v>
      </c>
      <c r="E307" s="1" t="n">
        <v>46324</v>
      </c>
      <c r="F307" t="inlineStr">
        <is>
          <t>ÖSTERGÖTLANDS LÄN</t>
        </is>
      </c>
      <c r="G307" t="inlineStr">
        <is>
          <t>BOXHOLM</t>
        </is>
      </c>
      <c r="I307" t="n">
        <v>2.5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62192-2022</t>
        </is>
      </c>
      <c r="B308" t="inlineStr">
        <is>
          <t>avverkningsanmälan</t>
        </is>
      </c>
      <c r="C308" t="inlineStr">
        <is>
          <t>Föryngringsavverkning</t>
        </is>
      </c>
      <c r="D308" s="1" t="n">
        <v>44914</v>
      </c>
      <c r="E308" s="1" t="n">
        <v>46324</v>
      </c>
      <c r="F308" t="inlineStr">
        <is>
          <t>ÖSTERGÖTLANDS LÄN</t>
        </is>
      </c>
      <c r="G308" t="inlineStr">
        <is>
          <t>BOXHOLM</t>
        </is>
      </c>
      <c r="I308" t="n">
        <v>1.1</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60790-2023</t>
        </is>
      </c>
      <c r="B309" t="inlineStr">
        <is>
          <t>avverkningsanmälan</t>
        </is>
      </c>
      <c r="C309" t="inlineStr">
        <is>
          <t>Föryngringsavverkning</t>
        </is>
      </c>
      <c r="D309" s="1" t="n">
        <v>45259</v>
      </c>
      <c r="E309" s="1" t="n">
        <v>46324</v>
      </c>
      <c r="F309" t="inlineStr">
        <is>
          <t>ÖSTERGÖTLANDS LÄN</t>
        </is>
      </c>
      <c r="G309" t="inlineStr">
        <is>
          <t>BOXHOLM</t>
        </is>
      </c>
      <c r="I309" t="n">
        <v>1.8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37099-2026</t>
        </is>
      </c>
      <c r="B310" t="inlineStr">
        <is>
          <t>avverkningsanmälan</t>
        </is>
      </c>
      <c r="C310" t="inlineStr">
        <is>
          <t>Föryngringsavverkning</t>
        </is>
      </c>
      <c r="D310" s="1" t="n">
        <v>46274</v>
      </c>
      <c r="E310" s="1" t="n">
        <v>46324</v>
      </c>
      <c r="F310" t="inlineStr">
        <is>
          <t>ÖSTERGÖTLANDS LÄN</t>
        </is>
      </c>
      <c r="G310" t="inlineStr">
        <is>
          <t>BOXHOLM</t>
        </is>
      </c>
      <c r="H310" t="inlineStr">
        <is>
          <t>Övriga Aktiebolag</t>
        </is>
      </c>
      <c r="I310" t="n">
        <v>3.3</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36331-2022</t>
        </is>
      </c>
      <c r="B311" t="inlineStr">
        <is>
          <t>avverkningsanmälan</t>
        </is>
      </c>
      <c r="C311" t="inlineStr">
        <is>
          <t>Föryngringsavverkning</t>
        </is>
      </c>
      <c r="D311" s="1" t="n">
        <v>44803</v>
      </c>
      <c r="E311" s="1" t="n">
        <v>46324</v>
      </c>
      <c r="F311" t="inlineStr">
        <is>
          <t>ÖSTERGÖTLANDS LÄN</t>
        </is>
      </c>
      <c r="G311" t="inlineStr">
        <is>
          <t>BOXHOLM</t>
        </is>
      </c>
      <c r="I311" t="n">
        <v>1.1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37087-2026</t>
        </is>
      </c>
      <c r="B312" t="inlineStr">
        <is>
          <t>avverkningsanmälan</t>
        </is>
      </c>
      <c r="C312" t="inlineStr">
        <is>
          <t>Föryngringsavverkning</t>
        </is>
      </c>
      <c r="D312" s="1" t="n">
        <v>46273</v>
      </c>
      <c r="E312" s="1" t="n">
        <v>46324</v>
      </c>
      <c r="F312" t="inlineStr">
        <is>
          <t>ÖSTERGÖTLANDS LÄN</t>
        </is>
      </c>
      <c r="G312" t="inlineStr">
        <is>
          <t>BOXHOLM</t>
        </is>
      </c>
      <c r="H312" t="inlineStr">
        <is>
          <t>Allmännings- och besparingsskogar</t>
        </is>
      </c>
      <c r="I312" t="n">
        <v>10.5</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3569-2024</t>
        </is>
      </c>
      <c r="B313" t="inlineStr">
        <is>
          <t>avverkningsanmälan</t>
        </is>
      </c>
      <c r="C313" t="inlineStr">
        <is>
          <t>Föryngringsavverkning</t>
        </is>
      </c>
      <c r="D313" s="1" t="n">
        <v>45320</v>
      </c>
      <c r="E313" s="1" t="n">
        <v>46324</v>
      </c>
      <c r="F313" t="inlineStr">
        <is>
          <t>ÖSTERGÖTLANDS LÄN</t>
        </is>
      </c>
      <c r="G313" t="inlineStr">
        <is>
          <t>BOXHOLM</t>
        </is>
      </c>
      <c r="H313" t="inlineStr">
        <is>
          <t>Övriga Aktiebolag</t>
        </is>
      </c>
      <c r="I313" t="n">
        <v>1.2</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37587-2026</t>
        </is>
      </c>
      <c r="B314" t="inlineStr">
        <is>
          <t>avverkningsanmälan</t>
        </is>
      </c>
      <c r="C314" t="inlineStr">
        <is>
          <t>Avverkning för annat ändamål</t>
        </is>
      </c>
      <c r="D314" s="1" t="n">
        <v>46276</v>
      </c>
      <c r="E314" s="1" t="n">
        <v>46324</v>
      </c>
      <c r="F314" t="inlineStr">
        <is>
          <t>ÖSTERGÖTLANDS LÄN</t>
        </is>
      </c>
      <c r="G314" t="inlineStr">
        <is>
          <t>BOXHOLM</t>
        </is>
      </c>
      <c r="I314" t="n">
        <v>3.1</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37488-2026</t>
        </is>
      </c>
      <c r="B315" t="inlineStr">
        <is>
          <t>avverkningsanmälan</t>
        </is>
      </c>
      <c r="C315" t="inlineStr">
        <is>
          <t>Föryngringsavverkning</t>
        </is>
      </c>
      <c r="D315" s="1" t="n">
        <v>46275</v>
      </c>
      <c r="E315" s="1" t="n">
        <v>46324</v>
      </c>
      <c r="F315" t="inlineStr">
        <is>
          <t>ÖSTERGÖTLANDS LÄN</t>
        </is>
      </c>
      <c r="G315" t="inlineStr">
        <is>
          <t>BOXHOLM</t>
        </is>
      </c>
      <c r="I315" t="n">
        <v>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37112-2026</t>
        </is>
      </c>
      <c r="B316" t="inlineStr">
        <is>
          <t>avverkningsanmälan</t>
        </is>
      </c>
      <c r="C316" t="inlineStr">
        <is>
          <t>Föryngringsavverkning</t>
        </is>
      </c>
      <c r="D316" s="1" t="n">
        <v>46274</v>
      </c>
      <c r="E316" s="1" t="n">
        <v>46324</v>
      </c>
      <c r="F316" t="inlineStr">
        <is>
          <t>ÖSTERGÖTLANDS LÄN</t>
        </is>
      </c>
      <c r="G316" t="inlineStr">
        <is>
          <t>BOXHOLM</t>
        </is>
      </c>
      <c r="I316" t="n">
        <v>3.8</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1597-2023</t>
        </is>
      </c>
      <c r="B317" t="inlineStr">
        <is>
          <t>avverkningsanmälan</t>
        </is>
      </c>
      <c r="C317" t="inlineStr">
        <is>
          <t>Föryngringsavverkning</t>
        </is>
      </c>
      <c r="D317" s="1" t="n">
        <v>44937</v>
      </c>
      <c r="E317" s="1" t="n">
        <v>46324</v>
      </c>
      <c r="F317" t="inlineStr">
        <is>
          <t>ÖSTERGÖTLANDS LÄN</t>
        </is>
      </c>
      <c r="G317" t="inlineStr">
        <is>
          <t>BOXHOLM</t>
        </is>
      </c>
      <c r="I317" t="n">
        <v>1.5</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37595-2026</t>
        </is>
      </c>
      <c r="B318" t="inlineStr">
        <is>
          <t>avverkningsanmälan</t>
        </is>
      </c>
      <c r="C318" t="inlineStr">
        <is>
          <t>Avverkning för annat ändamål</t>
        </is>
      </c>
      <c r="D318" s="1" t="n">
        <v>46276</v>
      </c>
      <c r="E318" s="1" t="n">
        <v>46324</v>
      </c>
      <c r="F318" t="inlineStr">
        <is>
          <t>ÖSTERGÖTLANDS LÄN</t>
        </is>
      </c>
      <c r="G318" t="inlineStr">
        <is>
          <t>BOXHOLM</t>
        </is>
      </c>
      <c r="I318" t="n">
        <v>1</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8843-2025</t>
        </is>
      </c>
      <c r="B319" t="inlineStr">
        <is>
          <t>avverkningsanmälan</t>
        </is>
      </c>
      <c r="C319" t="inlineStr">
        <is>
          <t>Avverkning för att bevara och utveckla /försöksver</t>
        </is>
      </c>
      <c r="D319" s="1" t="n">
        <v>45713</v>
      </c>
      <c r="E319" s="1" t="n">
        <v>46324</v>
      </c>
      <c r="F319" t="inlineStr">
        <is>
          <t>ÖSTERGÖTLANDS LÄN</t>
        </is>
      </c>
      <c r="G319" t="inlineStr">
        <is>
          <t>BOXHOLM</t>
        </is>
      </c>
      <c r="H319" t="inlineStr">
        <is>
          <t>Övriga Aktiebolag</t>
        </is>
      </c>
      <c r="I319" t="n">
        <v>0</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74128-2021</t>
        </is>
      </c>
      <c r="B320" t="inlineStr">
        <is>
          <t>avverkningsanmälan</t>
        </is>
      </c>
      <c r="C320" t="inlineStr">
        <is>
          <t>Föryngringsavverkning</t>
        </is>
      </c>
      <c r="D320" s="1" t="n">
        <v>44557</v>
      </c>
      <c r="E320" s="1" t="n">
        <v>46324</v>
      </c>
      <c r="F320" t="inlineStr">
        <is>
          <t>ÖSTERGÖTLANDS LÄN</t>
        </is>
      </c>
      <c r="G320" t="inlineStr">
        <is>
          <t>BOXHOLM</t>
        </is>
      </c>
      <c r="I320" t="n">
        <v>4.9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17728-2025</t>
        </is>
      </c>
      <c r="B321" t="inlineStr">
        <is>
          <t>avverkningsanmälan</t>
        </is>
      </c>
      <c r="C321" t="inlineStr">
        <is>
          <t>Föryngringsavverkning</t>
        </is>
      </c>
      <c r="D321" s="1" t="n">
        <v>45758</v>
      </c>
      <c r="E321" s="1" t="n">
        <v>46324</v>
      </c>
      <c r="F321" t="inlineStr">
        <is>
          <t>ÖSTERGÖTLANDS LÄN</t>
        </is>
      </c>
      <c r="G321" t="inlineStr">
        <is>
          <t>BOXHOLM</t>
        </is>
      </c>
      <c r="H321" t="inlineStr">
        <is>
          <t>Övriga Aktiebolag</t>
        </is>
      </c>
      <c r="I321" t="n">
        <v>0.7</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10250-2023</t>
        </is>
      </c>
      <c r="B322" t="inlineStr">
        <is>
          <t>avverkningsanmälan</t>
        </is>
      </c>
      <c r="C322" t="inlineStr">
        <is>
          <t>Föryngringsavverkning</t>
        </is>
      </c>
      <c r="D322" s="1" t="n">
        <v>44980</v>
      </c>
      <c r="E322" s="1" t="n">
        <v>46324</v>
      </c>
      <c r="F322" t="inlineStr">
        <is>
          <t>ÖSTERGÖTLANDS LÄN</t>
        </is>
      </c>
      <c r="G322" t="inlineStr">
        <is>
          <t>BOXHOLM</t>
        </is>
      </c>
      <c r="I322" t="n">
        <v>0.8</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15746-2023</t>
        </is>
      </c>
      <c r="B323" t="inlineStr">
        <is>
          <t>avverkningsanmälan</t>
        </is>
      </c>
      <c r="C323" t="inlineStr">
        <is>
          <t>Föryngringsavverkning</t>
        </is>
      </c>
      <c r="D323" s="1" t="n">
        <v>45021</v>
      </c>
      <c r="E323" s="1" t="n">
        <v>46324</v>
      </c>
      <c r="F323" t="inlineStr">
        <is>
          <t>ÖSTERGÖTLANDS LÄN</t>
        </is>
      </c>
      <c r="G323" t="inlineStr">
        <is>
          <t>BOXHOLM</t>
        </is>
      </c>
      <c r="I323" t="n">
        <v>0.6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44683-2026</t>
        </is>
      </c>
      <c r="B324" t="inlineStr">
        <is>
          <t>avverkningsanmälan</t>
        </is>
      </c>
      <c r="C324" t="inlineStr">
        <is>
          <t>Avverkning för att bevara och utveckla /försöksver</t>
        </is>
      </c>
      <c r="D324" s="1" t="n">
        <v>46322</v>
      </c>
      <c r="E324" s="1" t="n">
        <v>46324</v>
      </c>
      <c r="F324" t="inlineStr">
        <is>
          <t>ÖSTERGÖTLANDS LÄN</t>
        </is>
      </c>
      <c r="G324" t="inlineStr">
        <is>
          <t>BOXHOLM</t>
        </is>
      </c>
      <c r="H324" t="inlineStr">
        <is>
          <t>Övriga Aktiebolag</t>
        </is>
      </c>
      <c r="I324" t="n">
        <v>1.1</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36491-2023</t>
        </is>
      </c>
      <c r="B325" t="inlineStr">
        <is>
          <t>avverkningsanmälan</t>
        </is>
      </c>
      <c r="C325" t="inlineStr">
        <is>
          <t>Föryngringsavverkning</t>
        </is>
      </c>
      <c r="D325" s="1" t="n">
        <v>45152</v>
      </c>
      <c r="E325" s="1" t="n">
        <v>46324</v>
      </c>
      <c r="F325" t="inlineStr">
        <is>
          <t>ÖSTERGÖTLANDS LÄN</t>
        </is>
      </c>
      <c r="G325" t="inlineStr">
        <is>
          <t>BOXHOLM</t>
        </is>
      </c>
      <c r="I325" t="n">
        <v>10</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25127-2024</t>
        </is>
      </c>
      <c r="B326" t="inlineStr">
        <is>
          <t>avverkningsanmälan</t>
        </is>
      </c>
      <c r="C326" t="inlineStr">
        <is>
          <t>Avverkning för att bevara och utveckla /försöksver</t>
        </is>
      </c>
      <c r="D326" s="1" t="n">
        <v>45462</v>
      </c>
      <c r="E326" s="1" t="n">
        <v>46324</v>
      </c>
      <c r="F326" t="inlineStr">
        <is>
          <t>ÖSTERGÖTLANDS LÄN</t>
        </is>
      </c>
      <c r="G326" t="inlineStr">
        <is>
          <t>BOXHOLM</t>
        </is>
      </c>
      <c r="H326" t="inlineStr">
        <is>
          <t>Övriga Aktiebolag</t>
        </is>
      </c>
      <c r="I326" t="n">
        <v>1.1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9059-2023</t>
        </is>
      </c>
      <c r="B327" t="inlineStr">
        <is>
          <t>avverkningsanmälan</t>
        </is>
      </c>
      <c r="C327" t="inlineStr">
        <is>
          <t>Föryngringsavverkning</t>
        </is>
      </c>
      <c r="D327" s="1" t="n">
        <v>44979</v>
      </c>
      <c r="E327" s="1" t="n">
        <v>46324</v>
      </c>
      <c r="F327" t="inlineStr">
        <is>
          <t>ÖSTERGÖTLANDS LÄN</t>
        </is>
      </c>
      <c r="G327" t="inlineStr">
        <is>
          <t>BOXHOLM</t>
        </is>
      </c>
      <c r="I327" t="n">
        <v>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13606-2024</t>
        </is>
      </c>
      <c r="B328" t="inlineStr">
        <is>
          <t>avverkningsanmälan</t>
        </is>
      </c>
      <c r="C328" t="inlineStr">
        <is>
          <t>Föryngringsavverkning</t>
        </is>
      </c>
      <c r="D328" s="1" t="n">
        <v>45390</v>
      </c>
      <c r="E328" s="1" t="n">
        <v>46324</v>
      </c>
      <c r="F328" t="inlineStr">
        <is>
          <t>ÖSTERGÖTLANDS LÄN</t>
        </is>
      </c>
      <c r="G328" t="inlineStr">
        <is>
          <t>BOXHOLM</t>
        </is>
      </c>
      <c r="H328" t="inlineStr">
        <is>
          <t>Övriga Aktiebolag</t>
        </is>
      </c>
      <c r="I328" t="n">
        <v>5.8</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S 3421-2024</t>
        </is>
      </c>
      <c r="B329" t="inlineStr">
        <is>
          <t>samrådsanmälan</t>
        </is>
      </c>
      <c r="C329" t="inlineStr">
        <is>
          <t>Annan skogsbruksåtgärd</t>
        </is>
      </c>
      <c r="D329" s="1" t="n">
        <v>45537</v>
      </c>
      <c r="E329" s="1" t="n">
        <v>46324</v>
      </c>
      <c r="F329" t="inlineStr">
        <is>
          <t>ÖSTERGÖTLANDS LÄN</t>
        </is>
      </c>
      <c r="G329" t="inlineStr">
        <is>
          <t>BOXHOLM</t>
        </is>
      </c>
      <c r="H329" t="inlineStr">
        <is>
          <t>Övriga Aktiebolag</t>
        </is>
      </c>
      <c r="I329" t="n">
        <v>3.1</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S 2704-2025</t>
        </is>
      </c>
      <c r="B330" t="inlineStr">
        <is>
          <t>samrådsanmälan</t>
        </is>
      </c>
      <c r="C330" t="inlineStr">
        <is>
          <t>Annan skogsbruksåtgärd</t>
        </is>
      </c>
      <c r="D330" s="1" t="n">
        <v>45929</v>
      </c>
      <c r="E330" s="1" t="n">
        <v>46324</v>
      </c>
      <c r="F330" t="inlineStr">
        <is>
          <t>ÖSTERGÖTLANDS LÄN</t>
        </is>
      </c>
      <c r="G330" t="inlineStr">
        <is>
          <t>BOXHOLM</t>
        </is>
      </c>
      <c r="I330" t="n">
        <v>0.9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S 2850-2025</t>
        </is>
      </c>
      <c r="B331" t="inlineStr">
        <is>
          <t>samrådsanmälan</t>
        </is>
      </c>
      <c r="C331" t="inlineStr">
        <is>
          <t>Annan skogsbruksåtgärd</t>
        </is>
      </c>
      <c r="D331" s="1" t="n">
        <v>45943</v>
      </c>
      <c r="E331" s="1" t="n">
        <v>46324</v>
      </c>
      <c r="F331" t="inlineStr">
        <is>
          <t>ÖSTERGÖTLANDS LÄN</t>
        </is>
      </c>
      <c r="G331" t="inlineStr">
        <is>
          <t>BOXHOLM</t>
        </is>
      </c>
      <c r="H331" t="inlineStr">
        <is>
          <t>Övriga Aktiebolag</t>
        </is>
      </c>
      <c r="I331" t="n">
        <v>1.8</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S 3421-2025</t>
        </is>
      </c>
      <c r="B332" t="inlineStr">
        <is>
          <t>samrådsanmälan</t>
        </is>
      </c>
      <c r="C332" t="inlineStr">
        <is>
          <t>Annan skogsbruksåtgärd</t>
        </is>
      </c>
      <c r="D332" s="1" t="n">
        <v>45996</v>
      </c>
      <c r="E332" s="1" t="n">
        <v>46324</v>
      </c>
      <c r="F332" t="inlineStr">
        <is>
          <t>ÖSTERGÖTLANDS LÄN</t>
        </is>
      </c>
      <c r="G332" t="inlineStr">
        <is>
          <t>BOXHOLM</t>
        </is>
      </c>
      <c r="H332" t="inlineStr">
        <is>
          <t>Övriga Aktiebolag</t>
        </is>
      </c>
      <c r="I332" t="n">
        <v>0.9</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S 3419-2025</t>
        </is>
      </c>
      <c r="B333" t="inlineStr">
        <is>
          <t>samrådsanmälan</t>
        </is>
      </c>
      <c r="C333" t="inlineStr">
        <is>
          <t>Annan skogsbruksåtgärd</t>
        </is>
      </c>
      <c r="D333" s="1" t="n">
        <v>45996</v>
      </c>
      <c r="E333" s="1" t="n">
        <v>46324</v>
      </c>
      <c r="F333" t="inlineStr">
        <is>
          <t>ÖSTERGÖTLANDS LÄN</t>
        </is>
      </c>
      <c r="G333" t="inlineStr">
        <is>
          <t>BOXHOLM</t>
        </is>
      </c>
      <c r="H333" t="inlineStr">
        <is>
          <t>Övriga Aktiebolag</t>
        </is>
      </c>
      <c r="I333" t="n">
        <v>1.5</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S 1746-2026</t>
        </is>
      </c>
      <c r="B334" t="inlineStr">
        <is>
          <t>samrådsanmälan</t>
        </is>
      </c>
      <c r="C334" t="inlineStr">
        <is>
          <t>Annan skogsbruksåtgärd</t>
        </is>
      </c>
      <c r="D334" s="1" t="n">
        <v>46189</v>
      </c>
      <c r="E334" s="1" t="n">
        <v>46324</v>
      </c>
      <c r="F334" t="inlineStr">
        <is>
          <t>ÖSTERGÖTLANDS LÄN</t>
        </is>
      </c>
      <c r="G334" t="inlineStr">
        <is>
          <t>BOXHOLM</t>
        </is>
      </c>
      <c r="H334" t="inlineStr">
        <is>
          <t>Övriga Aktiebolag</t>
        </is>
      </c>
      <c r="I334" t="n">
        <v>0.7</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S 1747-2026</t>
        </is>
      </c>
      <c r="B335" t="inlineStr">
        <is>
          <t>samrådsanmälan</t>
        </is>
      </c>
      <c r="C335" t="inlineStr">
        <is>
          <t>Annan skogsbruksåtgärd</t>
        </is>
      </c>
      <c r="D335" s="1" t="n">
        <v>46189</v>
      </c>
      <c r="E335" s="1" t="n">
        <v>46324</v>
      </c>
      <c r="F335" t="inlineStr">
        <is>
          <t>ÖSTERGÖTLANDS LÄN</t>
        </is>
      </c>
      <c r="G335" t="inlineStr">
        <is>
          <t>BOXHOLM</t>
        </is>
      </c>
      <c r="H335" t="inlineStr">
        <is>
          <t>Övriga Aktiebolag</t>
        </is>
      </c>
      <c r="I335" t="n">
        <v>3.2</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S 1800-2026</t>
        </is>
      </c>
      <c r="B336" t="inlineStr">
        <is>
          <t>samrådsanmälan</t>
        </is>
      </c>
      <c r="C336" t="inlineStr">
        <is>
          <t>Annan skogsbruksåtgärd</t>
        </is>
      </c>
      <c r="D336" s="1" t="n">
        <v>46196</v>
      </c>
      <c r="E336" s="1" t="n">
        <v>46324</v>
      </c>
      <c r="F336" t="inlineStr">
        <is>
          <t>ÖSTERGÖTLANDS LÄN</t>
        </is>
      </c>
      <c r="G336" t="inlineStr">
        <is>
          <t>BOXHOLM</t>
        </is>
      </c>
      <c r="H336" t="inlineStr">
        <is>
          <t>Övriga Aktiebolag</t>
        </is>
      </c>
      <c r="I336" t="n">
        <v>3.4</v>
      </c>
      <c r="J336" t="n">
        <v>0</v>
      </c>
      <c r="K336" t="n">
        <v>0</v>
      </c>
      <c r="L336" t="n">
        <v>0</v>
      </c>
      <c r="M336" t="n">
        <v>0</v>
      </c>
      <c r="N336" t="n">
        <v>0</v>
      </c>
      <c r="O336" t="n">
        <v>0</v>
      </c>
      <c r="P336" t="n">
        <v>0</v>
      </c>
      <c r="Q336" t="n">
        <v>0</v>
      </c>
      <c r="R336" t="n">
        <v>0</v>
      </c>
      <c r="S336" t="n">
        <v>0</v>
      </c>
      <c r="T336" t="n">
        <v>0</v>
      </c>
      <c r="U336" t="n">
        <v>0</v>
      </c>
      <c r="V336" s="2" t="inlineStr"/>
    </row>
    <row r="337">
      <c r="A337" t="inlineStr">
        <is>
          <t>S 2793-2026</t>
        </is>
      </c>
      <c r="B337" t="inlineStr">
        <is>
          <t>samrådsanmälan</t>
        </is>
      </c>
      <c r="C337" t="inlineStr">
        <is>
          <t>Annan skogsbruksåtgärd</t>
        </is>
      </c>
      <c r="D337" s="1" t="n">
        <v>46322</v>
      </c>
      <c r="E337" s="1" t="n">
        <v>46324</v>
      </c>
      <c r="F337" t="inlineStr">
        <is>
          <t>ÖSTERGÖTLANDS LÄN</t>
        </is>
      </c>
      <c r="G337" t="inlineStr">
        <is>
          <t>BOXHOLM</t>
        </is>
      </c>
      <c r="H337" t="inlineStr">
        <is>
          <t>Övriga Aktiebolag</t>
        </is>
      </c>
      <c r="I337" t="n">
        <v>2.1</v>
      </c>
      <c r="J337" t="n">
        <v>0</v>
      </c>
      <c r="K337" t="n">
        <v>0</v>
      </c>
      <c r="L337" t="n">
        <v>0</v>
      </c>
      <c r="M337" t="n">
        <v>0</v>
      </c>
      <c r="N337" t="n">
        <v>0</v>
      </c>
      <c r="O337" t="n">
        <v>0</v>
      </c>
      <c r="P337" t="n">
        <v>0</v>
      </c>
      <c r="Q337" t="n">
        <v>0</v>
      </c>
      <c r="R337" t="n">
        <v>0</v>
      </c>
      <c r="S337" t="n">
        <v>0</v>
      </c>
      <c r="T337" t="n">
        <v>0</v>
      </c>
      <c r="U337" t="n">
        <v>0</v>
      </c>
      <c r="V3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2026-10-29T03:13:56Z</dcterms:created>
  <dcterms:modified xmlns:dcterms="http://purl.org/dc/terms/" xmlns:xsi="http://www.w3.org/2001/XMLSchema-instance" xsi:type="dcterms:W3CDTF">2026-10-29T03:13:56Z</dcterms:modified>
</cp:coreProperties>
</file>