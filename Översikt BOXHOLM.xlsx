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46222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46222</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s="2" t="inlineStr">
        <is>
          <t>Talltita
Kråka
Kungsfågel
Orre</t>
        </is>
      </c>
      <c r="V11">
        <f>HYPERLINK("https://klasma.github.io/Logging_0560/artfynd/A 61789-2025 artfynd.xlsx", "A 61789-2025")</f>
        <v/>
      </c>
      <c r="W11">
        <f>HYPERLINK("https://klasma.github.io/Logging_0560/kartor/A 61789-2025 karta.png", "A 61789-2025")</f>
        <v/>
      </c>
      <c r="Y11">
        <f>HYPERLINK("https://klasma.github.io/Logging_0560/klagomål/A 61789-2025 FSC-klagomål.docx", "A 61789-2025")</f>
        <v/>
      </c>
      <c r="Z11">
        <f>HYPERLINK("https://klasma.github.io/Logging_0560/klagomålsmail/A 61789-2025 FSC-klagomål mail.docx", "A 61789-2025")</f>
        <v/>
      </c>
      <c r="AA11">
        <f>HYPERLINK("https://klasma.github.io/Logging_0560/tillsyn/A 61789-2025 tillsynsbegäran.docx", "A 61789-2025")</f>
        <v/>
      </c>
      <c r="AB11">
        <f>HYPERLINK("https://klasma.github.io/Logging_0560/tillsynsmail/A 61789-2025 tillsynsbegäran mail.docx", "A 61789-2025")</f>
        <v/>
      </c>
      <c r="AC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46222</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s="2" t="inlineStr">
        <is>
          <t>Skogsalm
Svinrot
Blåsippa
Gullviva</t>
        </is>
      </c>
      <c r="V12">
        <f>HYPERLINK("https://klasma.github.io/Logging_0560/artfynd/A 59418-2022 artfynd.xlsx", "A 59418-2022")</f>
        <v/>
      </c>
      <c r="W12">
        <f>HYPERLINK("https://klasma.github.io/Logging_0560/kartor/A 59418-2022 karta.png", "A 59418-2022")</f>
        <v/>
      </c>
      <c r="Y12">
        <f>HYPERLINK("https://klasma.github.io/Logging_0560/klagomål/A 59418-2022 FSC-klagomål.docx", "A 59418-2022")</f>
        <v/>
      </c>
      <c r="Z12">
        <f>HYPERLINK("https://klasma.github.io/Logging_0560/klagomålsmail/A 59418-2022 FSC-klagomål mail.docx", "A 59418-2022")</f>
        <v/>
      </c>
      <c r="AA12">
        <f>HYPERLINK("https://klasma.github.io/Logging_0560/tillsyn/A 59418-2022 tillsynsbegäran.docx", "A 59418-2022")</f>
        <v/>
      </c>
      <c r="AB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46222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Y14">
        <f>HYPERLINK("https://klasma.github.io/Logging_0560/klagomål/A 35665-2024 FSC-klagomål.docx", "A 35665-2024")</f>
        <v/>
      </c>
      <c r="Z14">
        <f>HYPERLINK("https://klasma.github.io/Logging_0560/klagomålsmail/A 35665-2024 FSC-klagomål mail.docx", "A 35665-2024")</f>
        <v/>
      </c>
      <c r="AA14">
        <f>HYPERLINK("https://klasma.github.io/Logging_0560/tillsyn/A 35665-2024 tillsynsbegäran.docx", "A 35665-2024")</f>
        <v/>
      </c>
      <c r="AB14">
        <f>HYPERLINK("https://klasma.github.io/Logging_0560/tillsynsmail/A 35665-2024 tillsynsbegäran mail.docx", "A 35665-2024")</f>
        <v/>
      </c>
    </row>
    <row r="15" ht="15" customHeight="1">
      <c r="A15" t="inlineStr">
        <is>
          <t>A 590-2026</t>
        </is>
      </c>
      <c r="B15" t="inlineStr">
        <is>
          <t>avverkningsanmälan</t>
        </is>
      </c>
      <c r="C15" t="inlineStr">
        <is>
          <t>Avverkning för att bevara och utveckla /försöksver</t>
        </is>
      </c>
      <c r="D15" s="1" t="n">
        <v>46029</v>
      </c>
      <c r="E15" s="1" t="n">
        <v>46222</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s="2" t="inlineStr">
        <is>
          <t>Fällmossa
Rostfläck
Svart trolldruva</t>
        </is>
      </c>
      <c r="V15">
        <f>HYPERLINK("https://klasma.github.io/Logging_0560/artfynd/A 590-2026 artfynd.xlsx", "A 590-2026")</f>
        <v/>
      </c>
      <c r="W15">
        <f>HYPERLINK("https://klasma.github.io/Logging_0560/kartor/A 590-2026 karta.png", "A 590-2026")</f>
        <v/>
      </c>
      <c r="Y15">
        <f>HYPERLINK("https://klasma.github.io/Logging_0560/klagomål/A 590-2026 FSC-klagomål.docx", "A 590-2026")</f>
        <v/>
      </c>
      <c r="Z15">
        <f>HYPERLINK("https://klasma.github.io/Logging_0560/klagomålsmail/A 590-2026 FSC-klagomål mail.docx", "A 590-2026")</f>
        <v/>
      </c>
      <c r="AA15">
        <f>HYPERLINK("https://klasma.github.io/Logging_0560/tillsyn/A 590-2026 tillsynsbegäran.docx", "A 590-2026")</f>
        <v/>
      </c>
      <c r="AB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46222</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Y16">
        <f>HYPERLINK("https://klasma.github.io/Logging_0560/klagomål/A 62659-2025 FSC-klagomål.docx", "A 62659-2025")</f>
        <v/>
      </c>
      <c r="Z16">
        <f>HYPERLINK("https://klasma.github.io/Logging_0560/klagomålsmail/A 62659-2025 FSC-klagomål mail.docx", "A 62659-2025")</f>
        <v/>
      </c>
      <c r="AA16">
        <f>HYPERLINK("https://klasma.github.io/Logging_0560/tillsyn/A 62659-2025 tillsynsbegäran.docx", "A 62659-2025")</f>
        <v/>
      </c>
      <c r="AB16">
        <f>HYPERLINK("https://klasma.github.io/Logging_0560/tillsynsmail/A 62659-2025 tillsynsbegäran mail.docx", "A 62659-2025")</f>
        <v/>
      </c>
    </row>
    <row r="17" ht="15" customHeight="1">
      <c r="A17" t="inlineStr">
        <is>
          <t>A 36575-2025</t>
        </is>
      </c>
      <c r="B17" t="inlineStr">
        <is>
          <t>avverkningsanmälan</t>
        </is>
      </c>
      <c r="C17" t="inlineStr">
        <is>
          <t>Avverkning för att bevara och utveckla /försöksver</t>
        </is>
      </c>
      <c r="D17" s="1" t="n">
        <v>45870</v>
      </c>
      <c r="E17" s="1" t="n">
        <v>46222</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s="2" t="inlineStr">
        <is>
          <t>Gammelekslav
Rosa skärelav
Skuggorangelav</t>
        </is>
      </c>
      <c r="V17">
        <f>HYPERLINK("https://klasma.github.io/Logging_0560/artfynd/A 36575-2025 artfynd.xlsx", "A 36575-2025")</f>
        <v/>
      </c>
      <c r="W17">
        <f>HYPERLINK("https://klasma.github.io/Logging_0560/kartor/A 36575-2025 karta.png", "A 36575-2025")</f>
        <v/>
      </c>
      <c r="Y17">
        <f>HYPERLINK("https://klasma.github.io/Logging_0560/klagomål/A 36575-2025 FSC-klagomål.docx", "A 36575-2025")</f>
        <v/>
      </c>
      <c r="Z17">
        <f>HYPERLINK("https://klasma.github.io/Logging_0560/klagomålsmail/A 36575-2025 FSC-klagomål mail.docx", "A 36575-2025")</f>
        <v/>
      </c>
      <c r="AA17">
        <f>HYPERLINK("https://klasma.github.io/Logging_0560/tillsyn/A 36575-2025 tillsynsbegäran.docx", "A 36575-2025")</f>
        <v/>
      </c>
      <c r="AB17">
        <f>HYPERLINK("https://klasma.github.io/Logging_0560/tillsynsmail/A 36575-2025 tillsynsbegäran mail.docx", "A 36575-2025")</f>
        <v/>
      </c>
    </row>
    <row r="18" ht="15" customHeight="1">
      <c r="A18" t="inlineStr">
        <is>
          <t>A 62647-2025</t>
        </is>
      </c>
      <c r="B18" t="inlineStr">
        <is>
          <t>avverkningsanmälan</t>
        </is>
      </c>
      <c r="C18" t="inlineStr">
        <is>
          <t>Avverkning för att bevara och utveckla /försöksver</t>
        </is>
      </c>
      <c r="D18" s="1" t="n">
        <v>46008</v>
      </c>
      <c r="E18" s="1" t="n">
        <v>46222</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s="2" t="inlineStr">
        <is>
          <t>Lungrot
Fällmossa
Svart trolldruva</t>
        </is>
      </c>
      <c r="V18">
        <f>HYPERLINK("https://klasma.github.io/Logging_0560/artfynd/A 62647-2025 artfynd.xlsx", "A 62647-2025")</f>
        <v/>
      </c>
      <c r="W18">
        <f>HYPERLINK("https://klasma.github.io/Logging_0560/kartor/A 62647-2025 karta.png", "A 62647-2025")</f>
        <v/>
      </c>
      <c r="Y18">
        <f>HYPERLINK("https://klasma.github.io/Logging_0560/klagomål/A 62647-2025 FSC-klagomål.docx", "A 62647-2025")</f>
        <v/>
      </c>
      <c r="Z18">
        <f>HYPERLINK("https://klasma.github.io/Logging_0560/klagomålsmail/A 62647-2025 FSC-klagomål mail.docx", "A 62647-2025")</f>
        <v/>
      </c>
      <c r="AA18">
        <f>HYPERLINK("https://klasma.github.io/Logging_0560/tillsyn/A 62647-2025 tillsynsbegäran.docx", "A 62647-2025")</f>
        <v/>
      </c>
      <c r="AB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46222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Y19">
        <f>HYPERLINK("https://klasma.github.io/Logging_0560/klagomål/A 19066-2026 FSC-klagomål.docx", "A 19066-2026")</f>
        <v/>
      </c>
      <c r="Z19">
        <f>HYPERLINK("https://klasma.github.io/Logging_0560/klagomålsmail/A 19066-2026 FSC-klagomål mail.docx", "A 19066-2026")</f>
        <v/>
      </c>
      <c r="AA19">
        <f>HYPERLINK("https://klasma.github.io/Logging_0560/tillsyn/A 19066-2026 tillsynsbegäran.docx", "A 19066-2026")</f>
        <v/>
      </c>
      <c r="AB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46222</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46222</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4004-2026</t>
        </is>
      </c>
      <c r="B22" t="inlineStr">
        <is>
          <t>avverkningsanmälan</t>
        </is>
      </c>
      <c r="C22" t="inlineStr">
        <is>
          <t>Föryngringsavverkning</t>
        </is>
      </c>
      <c r="D22" s="1" t="n">
        <v>46044</v>
      </c>
      <c r="E22" s="1" t="n">
        <v>46222</v>
      </c>
      <c r="F22" t="inlineStr">
        <is>
          <t>ÖSTERGÖTLANDS LÄN</t>
        </is>
      </c>
      <c r="G22" t="inlineStr">
        <is>
          <t>BOXHOLM</t>
        </is>
      </c>
      <c r="I22" t="n">
        <v>2.7</v>
      </c>
      <c r="J22" t="n">
        <v>1</v>
      </c>
      <c r="K22" t="n">
        <v>0</v>
      </c>
      <c r="L22" t="n">
        <v>0</v>
      </c>
      <c r="M22" t="n">
        <v>1</v>
      </c>
      <c r="N22" t="n">
        <v>0</v>
      </c>
      <c r="O22" t="n">
        <v>0</v>
      </c>
      <c r="P22" t="n">
        <v>0</v>
      </c>
      <c r="Q22" t="n">
        <v>1</v>
      </c>
      <c r="R22" t="n">
        <v>1</v>
      </c>
      <c r="S22" t="n">
        <v>2</v>
      </c>
      <c r="T22" t="n">
        <v>5</v>
      </c>
      <c r="U22" s="2" t="inlineStr">
        <is>
          <t>Krokfibbla
Blåsippa</t>
        </is>
      </c>
      <c r="V22">
        <f>HYPERLINK("https://klasma.github.io/Logging_0560/artfynd/A 4004-2026 artfynd.xlsx", "A 4004-2026")</f>
        <v/>
      </c>
      <c r="W22">
        <f>HYPERLINK("https://klasma.github.io/Logging_0560/kartor/A 4004-2026 karta.png", "A 4004-2026")</f>
        <v/>
      </c>
      <c r="Y22">
        <f>HYPERLINK("https://klasma.github.io/Logging_0560/klagomål/A 4004-2026 FSC-klagomål.docx", "A 4004-2026")</f>
        <v/>
      </c>
      <c r="Z22">
        <f>HYPERLINK("https://klasma.github.io/Logging_0560/klagomålsmail/A 4004-2026 FSC-klagomål mail.docx", "A 4004-2026")</f>
        <v/>
      </c>
      <c r="AA22">
        <f>HYPERLINK("https://klasma.github.io/Logging_0560/tillsyn/A 4004-2026 tillsynsbegäran.docx", "A 4004-2026")</f>
        <v/>
      </c>
      <c r="AB22">
        <f>HYPERLINK("https://klasma.github.io/Logging_0560/tillsynsmail/A 4004-2026 tillsynsbegäran mail.docx", "A 4004-2026")</f>
        <v/>
      </c>
    </row>
    <row r="23" ht="15" customHeight="1">
      <c r="A23" t="inlineStr">
        <is>
          <t>A 61795-2025</t>
        </is>
      </c>
      <c r="B23" t="inlineStr">
        <is>
          <t>avverkningsanmälan</t>
        </is>
      </c>
      <c r="C23" t="inlineStr">
        <is>
          <t>Föryngringsavverkning</t>
        </is>
      </c>
      <c r="D23" s="1" t="n">
        <v>46002</v>
      </c>
      <c r="E23" s="1" t="n">
        <v>46222</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s="2" t="inlineStr">
        <is>
          <t>Knärot
Kolflarnlav</t>
        </is>
      </c>
      <c r="V23">
        <f>HYPERLINK("https://klasma.github.io/Logging_0560/artfynd/A 61795-2025 artfynd.xlsx", "A 61795-2025")</f>
        <v/>
      </c>
      <c r="W23">
        <f>HYPERLINK("https://klasma.github.io/Logging_0560/kartor/A 61795-2025 karta.png", "A 61795-2025")</f>
        <v/>
      </c>
      <c r="X23">
        <f>HYPERLINK("https://klasma.github.io/Logging_0560/knärot/A 61795-2025 karta knärot.png", "A 61795-2025")</f>
        <v/>
      </c>
      <c r="Y23">
        <f>HYPERLINK("https://klasma.github.io/Logging_0560/klagomål/A 61795-2025 FSC-klagomål.docx", "A 61795-2025")</f>
        <v/>
      </c>
      <c r="Z23">
        <f>HYPERLINK("https://klasma.github.io/Logging_0560/klagomålsmail/A 61795-2025 FSC-klagomål mail.docx", "A 61795-2025")</f>
        <v/>
      </c>
      <c r="AA23">
        <f>HYPERLINK("https://klasma.github.io/Logging_0560/tillsyn/A 61795-2025 tillsynsbegäran.docx", "A 61795-2025")</f>
        <v/>
      </c>
      <c r="AB23">
        <f>HYPERLINK("https://klasma.github.io/Logging_0560/tillsynsmail/A 61795-2025 tillsynsbegäran mail.docx", "A 61795-2025")</f>
        <v/>
      </c>
    </row>
    <row r="24" ht="15" customHeight="1">
      <c r="A24" t="inlineStr">
        <is>
          <t>A 14785-2026</t>
        </is>
      </c>
      <c r="B24" t="inlineStr">
        <is>
          <t>avverkningsanmälan</t>
        </is>
      </c>
      <c r="C24" t="inlineStr">
        <is>
          <t>Avverkning för att bevara och utveckla /försöksver</t>
        </is>
      </c>
      <c r="D24" s="1" t="n">
        <v>46101</v>
      </c>
      <c r="E24" s="1" t="n">
        <v>46222</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s="2" t="inlineStr">
        <is>
          <t>Svinrot
Grönvit nattviol</t>
        </is>
      </c>
      <c r="V24">
        <f>HYPERLINK("https://klasma.github.io/Logging_0560/artfynd/A 14785-2026 artfynd.xlsx", "A 14785-2026")</f>
        <v/>
      </c>
      <c r="W24">
        <f>HYPERLINK("https://klasma.github.io/Logging_0560/kartor/A 14785-2026 karta.png", "A 14785-2026")</f>
        <v/>
      </c>
      <c r="Y24">
        <f>HYPERLINK("https://klasma.github.io/Logging_0560/klagomål/A 14785-2026 FSC-klagomål.docx", "A 14785-2026")</f>
        <v/>
      </c>
      <c r="Z24">
        <f>HYPERLINK("https://klasma.github.io/Logging_0560/klagomålsmail/A 14785-2026 FSC-klagomål mail.docx", "A 14785-2026")</f>
        <v/>
      </c>
      <c r="AA24">
        <f>HYPERLINK("https://klasma.github.io/Logging_0560/tillsyn/A 14785-2026 tillsynsbegäran.docx", "A 14785-2026")</f>
        <v/>
      </c>
      <c r="AB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46222</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s="2" t="inlineStr">
        <is>
          <t>Ullticka
Vedtrappmossa</t>
        </is>
      </c>
      <c r="V25">
        <f>HYPERLINK("https://klasma.github.io/Logging_0560/artfynd/A 26638-2023 artfynd.xlsx", "A 26638-2023")</f>
        <v/>
      </c>
      <c r="W25">
        <f>HYPERLINK("https://klasma.github.io/Logging_0560/kartor/A 26638-2023 karta.png", "A 26638-2023")</f>
        <v/>
      </c>
      <c r="Y25">
        <f>HYPERLINK("https://klasma.github.io/Logging_0560/klagomål/A 26638-2023 FSC-klagomål.docx", "A 26638-2023")</f>
        <v/>
      </c>
      <c r="Z25">
        <f>HYPERLINK("https://klasma.github.io/Logging_0560/klagomålsmail/A 26638-2023 FSC-klagomål mail.docx", "A 26638-2023")</f>
        <v/>
      </c>
      <c r="AA25">
        <f>HYPERLINK("https://klasma.github.io/Logging_0560/tillsyn/A 26638-2023 tillsynsbegäran.docx", "A 26638-2023")</f>
        <v/>
      </c>
      <c r="AB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46222</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s="2" t="inlineStr">
        <is>
          <t>Hasselmus
Orre</t>
        </is>
      </c>
      <c r="V26">
        <f>HYPERLINK("https://klasma.github.io/Logging_0560/artfynd/A 26907-2022 artfynd.xlsx", "A 26907-2022")</f>
        <v/>
      </c>
      <c r="W26">
        <f>HYPERLINK("https://klasma.github.io/Logging_0560/kartor/A 26907-2022 karta.png", "A 26907-2022")</f>
        <v/>
      </c>
      <c r="Y26">
        <f>HYPERLINK("https://klasma.github.io/Logging_0560/klagomål/A 26907-2022 FSC-klagomål.docx", "A 26907-2022")</f>
        <v/>
      </c>
      <c r="Z26">
        <f>HYPERLINK("https://klasma.github.io/Logging_0560/klagomålsmail/A 26907-2022 FSC-klagomål mail.docx", "A 26907-2022")</f>
        <v/>
      </c>
      <c r="AA26">
        <f>HYPERLINK("https://klasma.github.io/Logging_0560/tillsyn/A 26907-2022 tillsynsbegäran.docx", "A 26907-2022")</f>
        <v/>
      </c>
      <c r="AB26">
        <f>HYPERLINK("https://klasma.github.io/Logging_0560/tillsynsmail/A 26907-2022 tillsynsbegäran mail.docx", "A 26907-2022")</f>
        <v/>
      </c>
      <c r="AC26">
        <f>HYPERLINK("https://klasma.github.io/Logging_0560/fåglar/A 26907-2022 prioriterade fågelarter.docx", "A 26907-2022")</f>
        <v/>
      </c>
    </row>
    <row r="27" ht="15" customHeight="1">
      <c r="A27" t="inlineStr">
        <is>
          <t>A 40509-2023</t>
        </is>
      </c>
      <c r="B27" t="inlineStr">
        <is>
          <t>avverkningsanmälan</t>
        </is>
      </c>
      <c r="C27" t="inlineStr">
        <is>
          <t>Föryngringsavverkning</t>
        </is>
      </c>
      <c r="D27" s="1" t="n">
        <v>45170</v>
      </c>
      <c r="E27" s="1" t="n">
        <v>46222</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s="2" t="inlineStr">
        <is>
          <t>Fällmossa
Blåsippa</t>
        </is>
      </c>
      <c r="V27">
        <f>HYPERLINK("https://klasma.github.io/Logging_0560/artfynd/A 40509-2023 artfynd.xlsx", "A 40509-2023")</f>
        <v/>
      </c>
      <c r="W27">
        <f>HYPERLINK("https://klasma.github.io/Logging_0560/kartor/A 40509-2023 karta.png", "A 40509-2023")</f>
        <v/>
      </c>
      <c r="Y27">
        <f>HYPERLINK("https://klasma.github.io/Logging_0560/klagomål/A 40509-2023 FSC-klagomål.docx", "A 40509-2023")</f>
        <v/>
      </c>
      <c r="Z27">
        <f>HYPERLINK("https://klasma.github.io/Logging_0560/klagomålsmail/A 40509-2023 FSC-klagomål mail.docx", "A 40509-2023")</f>
        <v/>
      </c>
      <c r="AA27">
        <f>HYPERLINK("https://klasma.github.io/Logging_0560/tillsyn/A 40509-2023 tillsynsbegäran.docx", "A 40509-2023")</f>
        <v/>
      </c>
      <c r="AB27">
        <f>HYPERLINK("https://klasma.github.io/Logging_0560/tillsynsmail/A 40509-2023 tillsynsbegäran mail.docx", "A 40509-2023")</f>
        <v/>
      </c>
    </row>
    <row r="28" ht="15" customHeight="1">
      <c r="A28" t="inlineStr">
        <is>
          <t>A 16755-2022</t>
        </is>
      </c>
      <c r="B28" t="inlineStr">
        <is>
          <t>avverkningsanmälan</t>
        </is>
      </c>
      <c r="C28" t="inlineStr">
        <is>
          <t>Föryngringsavverkning</t>
        </is>
      </c>
      <c r="D28" s="1" t="n">
        <v>44673</v>
      </c>
      <c r="E28" s="1" t="n">
        <v>46222</v>
      </c>
      <c r="F28" t="inlineStr">
        <is>
          <t>ÖSTERGÖTLANDS LÄN</t>
        </is>
      </c>
      <c r="G28" t="inlineStr">
        <is>
          <t>BOXHOLM</t>
        </is>
      </c>
      <c r="I28" t="n">
        <v>0.5</v>
      </c>
      <c r="J28" t="n">
        <v>0</v>
      </c>
      <c r="K28" t="n">
        <v>0</v>
      </c>
      <c r="L28" t="n">
        <v>1</v>
      </c>
      <c r="M28" t="n">
        <v>0</v>
      </c>
      <c r="N28" t="n">
        <v>0</v>
      </c>
      <c r="O28" t="n">
        <v>0</v>
      </c>
      <c r="P28" t="n">
        <v>0</v>
      </c>
      <c r="Q28" t="n">
        <v>1</v>
      </c>
      <c r="R28" t="n">
        <v>0</v>
      </c>
      <c r="S28" t="n">
        <v>1</v>
      </c>
      <c r="T28" t="n">
        <v>1</v>
      </c>
      <c r="U28" s="2" t="inlineStr">
        <is>
          <t>Sommarfibbla</t>
        </is>
      </c>
      <c r="V28">
        <f>HYPERLINK("https://klasma.github.io/Logging_0560/artfynd/A 16755-2022 artfynd.xlsx", "A 16755-2022")</f>
        <v/>
      </c>
      <c r="W28">
        <f>HYPERLINK("https://klasma.github.io/Logging_0560/kartor/A 16755-2022 karta.png", "A 16755-2022")</f>
        <v/>
      </c>
      <c r="Y28">
        <f>HYPERLINK("https://klasma.github.io/Logging_0560/klagomål/A 16755-2022 FSC-klagomål.docx", "A 16755-2022")</f>
        <v/>
      </c>
      <c r="Z28">
        <f>HYPERLINK("https://klasma.github.io/Logging_0560/klagomålsmail/A 16755-2022 FSC-klagomål mail.docx", "A 16755-2022")</f>
        <v/>
      </c>
      <c r="AA28">
        <f>HYPERLINK("https://klasma.github.io/Logging_0560/tillsyn/A 16755-2022 tillsynsbegäran.docx", "A 16755-2022")</f>
        <v/>
      </c>
      <c r="AB28">
        <f>HYPERLINK("https://klasma.github.io/Logging_0560/tillsynsmail/A 16755-2022 tillsynsbegäran mail.docx", "A 16755-2022")</f>
        <v/>
      </c>
    </row>
    <row r="29" ht="15" customHeight="1">
      <c r="A29" t="inlineStr">
        <is>
          <t>A 10733-2024</t>
        </is>
      </c>
      <c r="B29" t="inlineStr">
        <is>
          <t>avverkningsanmälan</t>
        </is>
      </c>
      <c r="C29" t="inlineStr">
        <is>
          <t>Föryngringsavverkning</t>
        </is>
      </c>
      <c r="D29" s="1" t="n">
        <v>45369</v>
      </c>
      <c r="E29" s="1" t="n">
        <v>46222</v>
      </c>
      <c r="F29" t="inlineStr">
        <is>
          <t>ÖSTERGÖTLANDS LÄN</t>
        </is>
      </c>
      <c r="G29" t="inlineStr">
        <is>
          <t>BOXHOLM</t>
        </is>
      </c>
      <c r="I29" t="n">
        <v>1.8</v>
      </c>
      <c r="J29" t="n">
        <v>1</v>
      </c>
      <c r="K29" t="n">
        <v>0</v>
      </c>
      <c r="L29" t="n">
        <v>0</v>
      </c>
      <c r="M29" t="n">
        <v>1</v>
      </c>
      <c r="N29" t="n">
        <v>0</v>
      </c>
      <c r="O29" t="n">
        <v>0</v>
      </c>
      <c r="P29" t="n">
        <v>0</v>
      </c>
      <c r="Q29" t="n">
        <v>1</v>
      </c>
      <c r="R29" t="n">
        <v>1</v>
      </c>
      <c r="S29" t="n">
        <v>1</v>
      </c>
      <c r="T29" t="n">
        <v>2</v>
      </c>
      <c r="U29" s="2" t="inlineStr">
        <is>
          <t>Knärot</t>
        </is>
      </c>
      <c r="V29">
        <f>HYPERLINK("https://klasma.github.io/Logging_0560/artfynd/A 10733-2024 artfynd.xlsx", "A 10733-2024")</f>
        <v/>
      </c>
      <c r="W29">
        <f>HYPERLINK("https://klasma.github.io/Logging_0560/kartor/A 10733-2024 karta.png", "A 10733-2024")</f>
        <v/>
      </c>
      <c r="X29">
        <f>HYPERLINK("https://klasma.github.io/Logging_0560/knärot/A 10733-2024 karta knärot.png", "A 10733-2024")</f>
        <v/>
      </c>
      <c r="Y29">
        <f>HYPERLINK("https://klasma.github.io/Logging_0560/klagomål/A 10733-2024 FSC-klagomål.docx", "A 10733-2024")</f>
        <v/>
      </c>
      <c r="Z29">
        <f>HYPERLINK("https://klasma.github.io/Logging_0560/klagomålsmail/A 10733-2024 FSC-klagomål mail.docx", "A 10733-2024")</f>
        <v/>
      </c>
      <c r="AA29">
        <f>HYPERLINK("https://klasma.github.io/Logging_0560/tillsyn/A 10733-2024 tillsynsbegäran.docx", "A 10733-2024")</f>
        <v/>
      </c>
      <c r="AB29">
        <f>HYPERLINK("https://klasma.github.io/Logging_0560/tillsynsmail/A 10733-2024 tillsynsbegäran mail.docx", "A 10733-2024")</f>
        <v/>
      </c>
    </row>
    <row r="30" ht="15" customHeight="1">
      <c r="A30" t="inlineStr">
        <is>
          <t>A 43578-2025</t>
        </is>
      </c>
      <c r="B30" t="inlineStr">
        <is>
          <t>avverkningsanmälan</t>
        </is>
      </c>
      <c r="C30" t="inlineStr">
        <is>
          <t>Föryngringsavverkning</t>
        </is>
      </c>
      <c r="D30" s="1" t="n">
        <v>45911</v>
      </c>
      <c r="E30" s="1" t="n">
        <v>46222</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Y30">
        <f>HYPERLINK("https://klasma.github.io/Logging_0560/klagomål/A 43578-2025 FSC-klagomål.docx", "A 43578-2025")</f>
        <v/>
      </c>
      <c r="Z30">
        <f>HYPERLINK("https://klasma.github.io/Logging_0560/klagomålsmail/A 43578-2025 FSC-klagomål mail.docx", "A 43578-2025")</f>
        <v/>
      </c>
      <c r="AA30">
        <f>HYPERLINK("https://klasma.github.io/Logging_0560/tillsyn/A 43578-2025 tillsynsbegäran.docx", "A 43578-2025")</f>
        <v/>
      </c>
      <c r="AB30">
        <f>HYPERLINK("https://klasma.github.io/Logging_0560/tillsynsmail/A 43578-2025 tillsynsbegäran mail.docx", "A 43578-2025")</f>
        <v/>
      </c>
    </row>
    <row r="31" ht="15" customHeight="1">
      <c r="A31" t="inlineStr">
        <is>
          <t>A 2669-2022</t>
        </is>
      </c>
      <c r="B31" t="inlineStr">
        <is>
          <t>avverkningsanmälan</t>
        </is>
      </c>
      <c r="C31" t="inlineStr">
        <is>
          <t>Föryngringsavverkning</t>
        </is>
      </c>
      <c r="D31" s="1" t="n">
        <v>44580</v>
      </c>
      <c r="E31" s="1" t="n">
        <v>46222</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s="2" t="inlineStr">
        <is>
          <t>Sommarfibbla</t>
        </is>
      </c>
      <c r="V31">
        <f>HYPERLINK("https://klasma.github.io/Logging_0560/artfynd/A 2669-2022 artfynd.xlsx", "A 2669-2022")</f>
        <v/>
      </c>
      <c r="W31">
        <f>HYPERLINK("https://klasma.github.io/Logging_0560/kartor/A 2669-2022 karta.png", "A 2669-2022")</f>
        <v/>
      </c>
      <c r="Y31">
        <f>HYPERLINK("https://klasma.github.io/Logging_0560/klagomål/A 2669-2022 FSC-klagomål.docx", "A 2669-2022")</f>
        <v/>
      </c>
      <c r="Z31">
        <f>HYPERLINK("https://klasma.github.io/Logging_0560/klagomålsmail/A 2669-2022 FSC-klagomål mail.docx", "A 2669-2022")</f>
        <v/>
      </c>
      <c r="AA31">
        <f>HYPERLINK("https://klasma.github.io/Logging_0560/tillsyn/A 2669-2022 tillsynsbegäran.docx", "A 2669-2022")</f>
        <v/>
      </c>
      <c r="AB31">
        <f>HYPERLINK("https://klasma.github.io/Logging_0560/tillsynsmail/A 2669-2022 tillsynsbegäran mail.docx", "A 2669-2022")</f>
        <v/>
      </c>
    </row>
    <row r="32" ht="15" customHeight="1">
      <c r="A32" t="inlineStr">
        <is>
          <t>A 36475-2025</t>
        </is>
      </c>
      <c r="B32" t="inlineStr">
        <is>
          <t>avverkningsanmälan</t>
        </is>
      </c>
      <c r="C32" t="inlineStr">
        <is>
          <t>Föryngringsavverkning</t>
        </is>
      </c>
      <c r="D32" s="1" t="n">
        <v>45869</v>
      </c>
      <c r="E32" s="1" t="n">
        <v>46222</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s="2" t="inlineStr">
        <is>
          <t>Tibast</t>
        </is>
      </c>
      <c r="V32">
        <f>HYPERLINK("https://klasma.github.io/Logging_0560/artfynd/A 36475-2025 artfynd.xlsx", "A 36475-2025")</f>
        <v/>
      </c>
      <c r="W32">
        <f>HYPERLINK("https://klasma.github.io/Logging_0560/kartor/A 36475-2025 karta.png", "A 36475-2025")</f>
        <v/>
      </c>
      <c r="Y32">
        <f>HYPERLINK("https://klasma.github.io/Logging_0560/klagomål/A 36475-2025 FSC-klagomål.docx", "A 36475-2025")</f>
        <v/>
      </c>
      <c r="Z32">
        <f>HYPERLINK("https://klasma.github.io/Logging_0560/klagomålsmail/A 36475-2025 FSC-klagomål mail.docx", "A 36475-2025")</f>
        <v/>
      </c>
      <c r="AA32">
        <f>HYPERLINK("https://klasma.github.io/Logging_0560/tillsyn/A 36475-2025 tillsynsbegäran.docx", "A 36475-2025")</f>
        <v/>
      </c>
      <c r="AB32">
        <f>HYPERLINK("https://klasma.github.io/Logging_0560/tillsynsmail/A 36475-2025 tillsynsbegäran mail.docx", "A 36475-2025")</f>
        <v/>
      </c>
    </row>
    <row r="33" ht="15" customHeight="1">
      <c r="A33" t="inlineStr">
        <is>
          <t>A 44823-2023</t>
        </is>
      </c>
      <c r="B33" t="inlineStr">
        <is>
          <t>avverkningsanmälan</t>
        </is>
      </c>
      <c r="C33" t="inlineStr">
        <is>
          <t>Föryngringsavverkning</t>
        </is>
      </c>
      <c r="D33" s="1" t="n">
        <v>45190</v>
      </c>
      <c r="E33" s="1" t="n">
        <v>46222</v>
      </c>
      <c r="F33" t="inlineStr">
        <is>
          <t>ÖSTERGÖTLANDS LÄN</t>
        </is>
      </c>
      <c r="G33" t="inlineStr">
        <is>
          <t>BOXHOLM</t>
        </is>
      </c>
      <c r="H33" t="inlineStr">
        <is>
          <t>Allmännings- och besparingsskogar</t>
        </is>
      </c>
      <c r="I33" t="n">
        <v>8.4</v>
      </c>
      <c r="J33" t="n">
        <v>0</v>
      </c>
      <c r="K33" t="n">
        <v>0</v>
      </c>
      <c r="L33" t="n">
        <v>1</v>
      </c>
      <c r="M33" t="n">
        <v>0</v>
      </c>
      <c r="N33" t="n">
        <v>0</v>
      </c>
      <c r="O33" t="n">
        <v>0</v>
      </c>
      <c r="P33" t="n">
        <v>0</v>
      </c>
      <c r="Q33" t="n">
        <v>1</v>
      </c>
      <c r="R33" t="n">
        <v>0</v>
      </c>
      <c r="S33" t="n">
        <v>1</v>
      </c>
      <c r="T33" t="n">
        <v>2</v>
      </c>
      <c r="U33" s="2" t="inlineStr">
        <is>
          <t>Kalkkärrsgrynsnäcka</t>
        </is>
      </c>
      <c r="V33">
        <f>HYPERLINK("https://klasma.github.io/Logging_0560/artfynd/A 44823-2023 artfynd.xlsx", "A 44823-2023")</f>
        <v/>
      </c>
      <c r="W33">
        <f>HYPERLINK("https://klasma.github.io/Logging_0560/kartor/A 44823-2023 karta.png", "A 44823-2023")</f>
        <v/>
      </c>
      <c r="Y33">
        <f>HYPERLINK("https://klasma.github.io/Logging_0560/klagomål/A 44823-2023 FSC-klagomål.docx", "A 44823-2023")</f>
        <v/>
      </c>
      <c r="Z33">
        <f>HYPERLINK("https://klasma.github.io/Logging_0560/klagomålsmail/A 44823-2023 FSC-klagomål mail.docx", "A 44823-2023")</f>
        <v/>
      </c>
      <c r="AA33">
        <f>HYPERLINK("https://klasma.github.io/Logging_0560/tillsyn/A 44823-2023 tillsynsbegäran.docx", "A 44823-2023")</f>
        <v/>
      </c>
      <c r="AB33">
        <f>HYPERLINK("https://klasma.github.io/Logging_0560/tillsynsmail/A 44823-2023 tillsynsbegäran mail.docx", "A 44823-2023")</f>
        <v/>
      </c>
    </row>
    <row r="34" ht="15" customHeight="1">
      <c r="A34" t="inlineStr">
        <is>
          <t>A 5001-2022</t>
        </is>
      </c>
      <c r="B34" t="inlineStr">
        <is>
          <t>avverkningsanmälan</t>
        </is>
      </c>
      <c r="C34" t="inlineStr">
        <is>
          <t>Föryngringsavverkning</t>
        </is>
      </c>
      <c r="D34" s="1" t="n">
        <v>44593</v>
      </c>
      <c r="E34" s="1" t="n">
        <v>46222</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s="2" t="inlineStr">
        <is>
          <t>Carphacis striatus</t>
        </is>
      </c>
      <c r="V34">
        <f>HYPERLINK("https://klasma.github.io/Logging_0560/artfynd/A 5001-2022 artfynd.xlsx", "A 5001-2022")</f>
        <v/>
      </c>
      <c r="W34">
        <f>HYPERLINK("https://klasma.github.io/Logging_0560/kartor/A 5001-2022 karta.png", "A 5001-2022")</f>
        <v/>
      </c>
      <c r="Y34">
        <f>HYPERLINK("https://klasma.github.io/Logging_0560/klagomål/A 5001-2022 FSC-klagomål.docx", "A 5001-2022")</f>
        <v/>
      </c>
      <c r="Z34">
        <f>HYPERLINK("https://klasma.github.io/Logging_0560/klagomålsmail/A 5001-2022 FSC-klagomål mail.docx", "A 5001-2022")</f>
        <v/>
      </c>
      <c r="AA34">
        <f>HYPERLINK("https://klasma.github.io/Logging_0560/tillsyn/A 5001-2022 tillsynsbegäran.docx", "A 5001-2022")</f>
        <v/>
      </c>
      <c r="AB34">
        <f>HYPERLINK("https://klasma.github.io/Logging_0560/tillsynsmail/A 5001-2022 tillsynsbegäran mail.docx", "A 5001-2022")</f>
        <v/>
      </c>
    </row>
    <row r="35" ht="15" customHeight="1">
      <c r="A35" t="inlineStr">
        <is>
          <t>A 64028-2025</t>
        </is>
      </c>
      <c r="B35" t="inlineStr">
        <is>
          <t>avverkningsanmälan</t>
        </is>
      </c>
      <c r="C35" t="inlineStr">
        <is>
          <t>Föryngringsavverkning</t>
        </is>
      </c>
      <c r="D35" s="1" t="n">
        <v>46021</v>
      </c>
      <c r="E35" s="1" t="n">
        <v>46222</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s="2" t="inlineStr">
        <is>
          <t>Blåsippa</t>
        </is>
      </c>
      <c r="V35">
        <f>HYPERLINK("https://klasma.github.io/Logging_0560/artfynd/A 64028-2025 artfynd.xlsx", "A 64028-2025")</f>
        <v/>
      </c>
      <c r="W35">
        <f>HYPERLINK("https://klasma.github.io/Logging_0560/kartor/A 64028-2025 karta.png", "A 64028-2025")</f>
        <v/>
      </c>
      <c r="Y35">
        <f>HYPERLINK("https://klasma.github.io/Logging_0560/klagomål/A 64028-2025 FSC-klagomål.docx", "A 64028-2025")</f>
        <v/>
      </c>
      <c r="Z35">
        <f>HYPERLINK("https://klasma.github.io/Logging_0560/klagomålsmail/A 64028-2025 FSC-klagomål mail.docx", "A 64028-2025")</f>
        <v/>
      </c>
      <c r="AA35">
        <f>HYPERLINK("https://klasma.github.io/Logging_0560/tillsyn/A 64028-2025 tillsynsbegäran.docx", "A 64028-2025")</f>
        <v/>
      </c>
      <c r="AB35">
        <f>HYPERLINK("https://klasma.github.io/Logging_0560/tillsynsmail/A 64028-2025 tillsynsbegäran mail.docx", "A 64028-2025")</f>
        <v/>
      </c>
    </row>
    <row r="36" ht="15" customHeight="1">
      <c r="A36" t="inlineStr">
        <is>
          <t>A 29396-2023</t>
        </is>
      </c>
      <c r="B36" t="inlineStr">
        <is>
          <t>avverkningsanmälan</t>
        </is>
      </c>
      <c r="C36" t="inlineStr">
        <is>
          <t>Föryngringsavverkning</t>
        </is>
      </c>
      <c r="D36" s="1" t="n">
        <v>45106</v>
      </c>
      <c r="E36" s="1" t="n">
        <v>46222</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s="2" t="inlineStr">
        <is>
          <t>Gul dropplav</t>
        </is>
      </c>
      <c r="V36">
        <f>HYPERLINK("https://klasma.github.io/Logging_0560/artfynd/A 29396-2023 artfynd.xlsx", "A 29396-2023")</f>
        <v/>
      </c>
      <c r="W36">
        <f>HYPERLINK("https://klasma.github.io/Logging_0560/kartor/A 29396-2023 karta.png", "A 29396-2023")</f>
        <v/>
      </c>
      <c r="Y36">
        <f>HYPERLINK("https://klasma.github.io/Logging_0560/klagomål/A 29396-2023 FSC-klagomål.docx", "A 29396-2023")</f>
        <v/>
      </c>
      <c r="Z36">
        <f>HYPERLINK("https://klasma.github.io/Logging_0560/klagomålsmail/A 29396-2023 FSC-klagomål mail.docx", "A 29396-2023")</f>
        <v/>
      </c>
      <c r="AA36">
        <f>HYPERLINK("https://klasma.github.io/Logging_0560/tillsyn/A 29396-2023 tillsynsbegäran.docx", "A 29396-2023")</f>
        <v/>
      </c>
      <c r="AB36">
        <f>HYPERLINK("https://klasma.github.io/Logging_0560/tillsynsmail/A 29396-2023 tillsynsbegäran mail.docx", "A 29396-2023")</f>
        <v/>
      </c>
    </row>
    <row r="37" ht="15" customHeight="1">
      <c r="A37" t="inlineStr">
        <is>
          <t>A 53616-2024</t>
        </is>
      </c>
      <c r="B37" t="inlineStr">
        <is>
          <t>avverkningsanmälan</t>
        </is>
      </c>
      <c r="C37" t="inlineStr">
        <is>
          <t>Föryngringsavverkning</t>
        </is>
      </c>
      <c r="D37" s="1" t="n">
        <v>45614</v>
      </c>
      <c r="E37" s="1" t="n">
        <v>46222</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s="2" t="inlineStr">
        <is>
          <t>Sommarfibbla</t>
        </is>
      </c>
      <c r="V37">
        <f>HYPERLINK("https://klasma.github.io/Logging_0560/artfynd/A 53616-2024 artfynd.xlsx", "A 53616-2024")</f>
        <v/>
      </c>
      <c r="W37">
        <f>HYPERLINK("https://klasma.github.io/Logging_0560/kartor/A 53616-2024 karta.png", "A 53616-2024")</f>
        <v/>
      </c>
      <c r="Y37">
        <f>HYPERLINK("https://klasma.github.io/Logging_0560/klagomål/A 53616-2024 FSC-klagomål.docx", "A 53616-2024")</f>
        <v/>
      </c>
      <c r="Z37">
        <f>HYPERLINK("https://klasma.github.io/Logging_0560/klagomålsmail/A 53616-2024 FSC-klagomål mail.docx", "A 53616-2024")</f>
        <v/>
      </c>
      <c r="AA37">
        <f>HYPERLINK("https://klasma.github.io/Logging_0560/tillsyn/A 53616-2024 tillsynsbegäran.docx", "A 53616-2024")</f>
        <v/>
      </c>
      <c r="AB37">
        <f>HYPERLINK("https://klasma.github.io/Logging_0560/tillsynsmail/A 53616-2024 tillsynsbegäran mail.docx", "A 53616-2024")</f>
        <v/>
      </c>
    </row>
    <row r="38" ht="15" customHeight="1">
      <c r="A38" t="inlineStr">
        <is>
          <t>A 28407-2026</t>
        </is>
      </c>
      <c r="B38" t="inlineStr">
        <is>
          <t>avverkningsanmälan</t>
        </is>
      </c>
      <c r="C38" t="inlineStr">
        <is>
          <t>Föryngringsavverkning</t>
        </is>
      </c>
      <c r="D38" s="1" t="n">
        <v>46197</v>
      </c>
      <c r="E38" s="1" t="n">
        <v>46222</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s="2" t="inlineStr">
        <is>
          <t>Gullklöver</t>
        </is>
      </c>
      <c r="V38">
        <f>HYPERLINK("https://klasma.github.io/Logging_0560/artfynd/A 28407-2026 artfynd.xlsx", "A 28407-2026")</f>
        <v/>
      </c>
      <c r="W38">
        <f>HYPERLINK("https://klasma.github.io/Logging_0560/kartor/A 28407-2026 karta.png", "A 28407-2026")</f>
        <v/>
      </c>
      <c r="Y38">
        <f>HYPERLINK("https://klasma.github.io/Logging_0560/klagomål/A 28407-2026 FSC-klagomål.docx", "A 28407-2026")</f>
        <v/>
      </c>
      <c r="Z38">
        <f>HYPERLINK("https://klasma.github.io/Logging_0560/klagomålsmail/A 28407-2026 FSC-klagomål mail.docx", "A 28407-2026")</f>
        <v/>
      </c>
      <c r="AA38">
        <f>HYPERLINK("https://klasma.github.io/Logging_0560/tillsyn/A 28407-2026 tillsynsbegäran.docx", "A 28407-2026")</f>
        <v/>
      </c>
      <c r="AB38">
        <f>HYPERLINK("https://klasma.github.io/Logging_0560/tillsynsmail/A 28407-2026 tillsynsbegäran mail.docx", "A 28407-2026")</f>
        <v/>
      </c>
    </row>
    <row r="39" ht="15" customHeight="1">
      <c r="A39" t="inlineStr">
        <is>
          <t>A 57570-2023</t>
        </is>
      </c>
      <c r="B39" t="inlineStr">
        <is>
          <t>avverkningsanmälan</t>
        </is>
      </c>
      <c r="C39" t="inlineStr">
        <is>
          <t>Föryngringsavverkning</t>
        </is>
      </c>
      <c r="D39" s="1" t="n">
        <v>45246</v>
      </c>
      <c r="E39" s="1" t="n">
        <v>46222</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s="2" t="inlineStr">
        <is>
          <t>Nötkråka</t>
        </is>
      </c>
      <c r="V39">
        <f>HYPERLINK("https://klasma.github.io/Logging_0560/artfynd/A 57570-2023 artfynd.xlsx", "A 57570-2023")</f>
        <v/>
      </c>
      <c r="W39">
        <f>HYPERLINK("https://klasma.github.io/Logging_0560/kartor/A 57570-2023 karta.png", "A 57570-2023")</f>
        <v/>
      </c>
      <c r="Y39">
        <f>HYPERLINK("https://klasma.github.io/Logging_0560/klagomål/A 57570-2023 FSC-klagomål.docx", "A 57570-2023")</f>
        <v/>
      </c>
      <c r="Z39">
        <f>HYPERLINK("https://klasma.github.io/Logging_0560/klagomålsmail/A 57570-2023 FSC-klagomål mail.docx", "A 57570-2023")</f>
        <v/>
      </c>
      <c r="AA39">
        <f>HYPERLINK("https://klasma.github.io/Logging_0560/tillsyn/A 57570-2023 tillsynsbegäran.docx", "A 57570-2023")</f>
        <v/>
      </c>
      <c r="AB39">
        <f>HYPERLINK("https://klasma.github.io/Logging_0560/tillsynsmail/A 57570-2023 tillsynsbegäran mail.docx", "A 57570-2023")</f>
        <v/>
      </c>
      <c r="AC39">
        <f>HYPERLINK("https://klasma.github.io/Logging_0560/fåglar/A 57570-2023 prioriterade fågelarter.docx", "A 57570-2023")</f>
        <v/>
      </c>
    </row>
    <row r="40" ht="15" customHeight="1">
      <c r="A40" t="inlineStr">
        <is>
          <t>A 52847-2024</t>
        </is>
      </c>
      <c r="B40" t="inlineStr">
        <is>
          <t>avverkningsanmälan</t>
        </is>
      </c>
      <c r="C40" t="inlineStr">
        <is>
          <t>Föryngringsavverkning</t>
        </is>
      </c>
      <c r="D40" s="1" t="n">
        <v>45610</v>
      </c>
      <c r="E40" s="1" t="n">
        <v>46222</v>
      </c>
      <c r="F40" t="inlineStr">
        <is>
          <t>ÖSTERGÖTLANDS LÄN</t>
        </is>
      </c>
      <c r="G40" t="inlineStr">
        <is>
          <t>BOXHOLM</t>
        </is>
      </c>
      <c r="I40" t="n">
        <v>1.2</v>
      </c>
      <c r="J40" t="n">
        <v>0</v>
      </c>
      <c r="K40" t="n">
        <v>0</v>
      </c>
      <c r="L40" t="n">
        <v>1</v>
      </c>
      <c r="M40" t="n">
        <v>0</v>
      </c>
      <c r="N40" t="n">
        <v>0</v>
      </c>
      <c r="O40" t="n">
        <v>0</v>
      </c>
      <c r="P40" t="n">
        <v>0</v>
      </c>
      <c r="Q40" t="n">
        <v>1</v>
      </c>
      <c r="R40" t="n">
        <v>0</v>
      </c>
      <c r="S40" t="n">
        <v>1</v>
      </c>
      <c r="T40" t="n">
        <v>1</v>
      </c>
      <c r="U40" s="2" t="inlineStr">
        <is>
          <t>Vårstarr</t>
        </is>
      </c>
      <c r="V40">
        <f>HYPERLINK("https://klasma.github.io/Logging_0560/artfynd/A 52847-2024 artfynd.xlsx", "A 52847-2024")</f>
        <v/>
      </c>
      <c r="W40">
        <f>HYPERLINK("https://klasma.github.io/Logging_0560/kartor/A 52847-2024 karta.png", "A 52847-2024")</f>
        <v/>
      </c>
      <c r="Y40">
        <f>HYPERLINK("https://klasma.github.io/Logging_0560/klagomål/A 52847-2024 FSC-klagomål.docx", "A 52847-2024")</f>
        <v/>
      </c>
      <c r="Z40">
        <f>HYPERLINK("https://klasma.github.io/Logging_0560/klagomålsmail/A 52847-2024 FSC-klagomål mail.docx", "A 52847-2024")</f>
        <v/>
      </c>
      <c r="AA40">
        <f>HYPERLINK("https://klasma.github.io/Logging_0560/tillsyn/A 52847-2024 tillsynsbegäran.docx", "A 52847-2024")</f>
        <v/>
      </c>
      <c r="AB40">
        <f>HYPERLINK("https://klasma.github.io/Logging_0560/tillsynsmail/A 52847-2024 tillsynsbegäran mail.docx", "A 52847-2024")</f>
        <v/>
      </c>
    </row>
    <row r="41" ht="15" customHeight="1">
      <c r="A41" t="inlineStr">
        <is>
          <t>A 19560-2024</t>
        </is>
      </c>
      <c r="B41" t="inlineStr">
        <is>
          <t>avverkningsanmälan</t>
        </is>
      </c>
      <c r="C41" t="inlineStr">
        <is>
          <t>Föryngringsavverkning</t>
        </is>
      </c>
      <c r="D41" s="1" t="n">
        <v>45429</v>
      </c>
      <c r="E41" s="1" t="n">
        <v>46222</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s="2" t="inlineStr">
        <is>
          <t>Gullklöver</t>
        </is>
      </c>
      <c r="V41">
        <f>HYPERLINK("https://klasma.github.io/Logging_0560/artfynd/A 19560-2024 artfynd.xlsx", "A 19560-2024")</f>
        <v/>
      </c>
      <c r="W41">
        <f>HYPERLINK("https://klasma.github.io/Logging_0560/kartor/A 19560-2024 karta.png", "A 19560-2024")</f>
        <v/>
      </c>
      <c r="Y41">
        <f>HYPERLINK("https://klasma.github.io/Logging_0560/klagomål/A 19560-2024 FSC-klagomål.docx", "A 19560-2024")</f>
        <v/>
      </c>
      <c r="Z41">
        <f>HYPERLINK("https://klasma.github.io/Logging_0560/klagomålsmail/A 19560-2024 FSC-klagomål mail.docx", "A 19560-2024")</f>
        <v/>
      </c>
      <c r="AA41">
        <f>HYPERLINK("https://klasma.github.io/Logging_0560/tillsyn/A 19560-2024 tillsynsbegäran.docx", "A 19560-2024")</f>
        <v/>
      </c>
      <c r="AB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46222</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s="2" t="inlineStr">
        <is>
          <t>Backklöver</t>
        </is>
      </c>
      <c r="V42">
        <f>HYPERLINK("https://klasma.github.io/Logging_0560/artfynd/A 31675-2023 artfynd.xlsx", "A 31675-2023")</f>
        <v/>
      </c>
      <c r="W42">
        <f>HYPERLINK("https://klasma.github.io/Logging_0560/kartor/A 31675-2023 karta.png", "A 31675-2023")</f>
        <v/>
      </c>
      <c r="Y42">
        <f>HYPERLINK("https://klasma.github.io/Logging_0560/klagomål/A 31675-2023 FSC-klagomål.docx", "A 31675-2023")</f>
        <v/>
      </c>
      <c r="Z42">
        <f>HYPERLINK("https://klasma.github.io/Logging_0560/klagomålsmail/A 31675-2023 FSC-klagomål mail.docx", "A 31675-2023")</f>
        <v/>
      </c>
      <c r="AA42">
        <f>HYPERLINK("https://klasma.github.io/Logging_0560/tillsyn/A 31675-2023 tillsynsbegäran.docx", "A 31675-2023")</f>
        <v/>
      </c>
      <c r="AB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46222</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46222</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46222</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46222</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46222</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46222</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46222</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46222</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46222</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46222</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46222</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46222</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46222</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46222</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46222</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46222</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46222</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46222</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46222</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46222</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46222</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46222</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46222</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46222</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46222</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46222</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67362-2021</t>
        </is>
      </c>
      <c r="B69" t="inlineStr">
        <is>
          <t>avverkningsanmälan</t>
        </is>
      </c>
      <c r="C69" t="inlineStr">
        <is>
          <t>Föryngringsavverkning</t>
        </is>
      </c>
      <c r="D69" s="1" t="n">
        <v>44523</v>
      </c>
      <c r="E69" s="1" t="n">
        <v>46222</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s="2" t="inlineStr"/>
    </row>
    <row r="70" ht="15" customHeight="1">
      <c r="A70" t="inlineStr">
        <is>
          <t>A 42696-2022</t>
        </is>
      </c>
      <c r="B70" t="inlineStr">
        <is>
          <t>avverkningsanmälan</t>
        </is>
      </c>
      <c r="C70" t="inlineStr">
        <is>
          <t>Föryngringsavverkning</t>
        </is>
      </c>
      <c r="D70" s="1" t="n">
        <v>44832</v>
      </c>
      <c r="E70" s="1" t="n">
        <v>46222</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46222</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46222</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46222</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46222</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46222</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46222</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46222</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47145-2022</t>
        </is>
      </c>
      <c r="B78" t="inlineStr">
        <is>
          <t>avverkningsanmälan</t>
        </is>
      </c>
      <c r="C78" t="inlineStr">
        <is>
          <t>Föryngringsavverkning</t>
        </is>
      </c>
      <c r="D78" s="1" t="n">
        <v>44852</v>
      </c>
      <c r="E78" s="1" t="n">
        <v>46222</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s="2" t="inlineStr"/>
    </row>
    <row r="79" ht="15" customHeight="1">
      <c r="A79" t="inlineStr">
        <is>
          <t>A 72287-2021</t>
        </is>
      </c>
      <c r="B79" t="inlineStr">
        <is>
          <t>avverkningsanmälan</t>
        </is>
      </c>
      <c r="C79" t="inlineStr">
        <is>
          <t>Föryngringsavverkning</t>
        </is>
      </c>
      <c r="D79" s="1" t="n">
        <v>44545</v>
      </c>
      <c r="E79" s="1" t="n">
        <v>46222</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s="2" t="inlineStr"/>
    </row>
    <row r="80" ht="15" customHeight="1">
      <c r="A80" t="inlineStr">
        <is>
          <t>A 58472-2021</t>
        </is>
      </c>
      <c r="B80" t="inlineStr">
        <is>
          <t>avverkningsanmälan</t>
        </is>
      </c>
      <c r="C80" t="inlineStr">
        <is>
          <t>Föryngringsavverkning</t>
        </is>
      </c>
      <c r="D80" s="1" t="n">
        <v>44488</v>
      </c>
      <c r="E80" s="1" t="n">
        <v>46222</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s="2" t="inlineStr"/>
    </row>
    <row r="81" ht="15" customHeight="1">
      <c r="A81" t="inlineStr">
        <is>
          <t>A 15500-2025</t>
        </is>
      </c>
      <c r="B81" t="inlineStr">
        <is>
          <t>avverkningsanmälan</t>
        </is>
      </c>
      <c r="C81" t="inlineStr">
        <is>
          <t>Avverkning för att bevara och utveckla /försöksver</t>
        </is>
      </c>
      <c r="D81" s="1" t="n">
        <v>45747</v>
      </c>
      <c r="E81" s="1" t="n">
        <v>46222</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s="2" t="inlineStr"/>
    </row>
    <row r="82" ht="15" customHeight="1">
      <c r="A82" t="inlineStr">
        <is>
          <t>A 12203-2025</t>
        </is>
      </c>
      <c r="B82" t="inlineStr">
        <is>
          <t>avverkningsanmälan</t>
        </is>
      </c>
      <c r="C82" t="inlineStr">
        <is>
          <t>Föryngringsavverkning</t>
        </is>
      </c>
      <c r="D82" s="1" t="n">
        <v>45729</v>
      </c>
      <c r="E82" s="1" t="n">
        <v>46222</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s="2" t="inlineStr"/>
    </row>
    <row r="83" ht="15" customHeight="1">
      <c r="A83" t="inlineStr">
        <is>
          <t>A 38107-2021</t>
        </is>
      </c>
      <c r="B83" t="inlineStr">
        <is>
          <t>avverkningsanmälan</t>
        </is>
      </c>
      <c r="C83" t="inlineStr">
        <is>
          <t>Avverkning för annat ändamål</t>
        </is>
      </c>
      <c r="D83" s="1" t="n">
        <v>44405</v>
      </c>
      <c r="E83" s="1" t="n">
        <v>46222</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s="2" t="inlineStr"/>
    </row>
    <row r="84" ht="15" customHeight="1">
      <c r="A84" t="inlineStr">
        <is>
          <t>A 19561-2024</t>
        </is>
      </c>
      <c r="B84" t="inlineStr">
        <is>
          <t>avverkningsanmälan</t>
        </is>
      </c>
      <c r="C84" t="inlineStr">
        <is>
          <t>Föryngringsavverkning</t>
        </is>
      </c>
      <c r="D84" s="1" t="n">
        <v>45429</v>
      </c>
      <c r="E84" s="1" t="n">
        <v>46222</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s="2" t="inlineStr"/>
    </row>
    <row r="85" ht="15" customHeight="1">
      <c r="A85" t="inlineStr">
        <is>
          <t>A 933-2024</t>
        </is>
      </c>
      <c r="B85" t="inlineStr">
        <is>
          <t>avverkningsanmälan</t>
        </is>
      </c>
      <c r="C85" t="inlineStr">
        <is>
          <t>Föryngringsavverkning</t>
        </is>
      </c>
      <c r="D85" s="1" t="n">
        <v>45301</v>
      </c>
      <c r="E85" s="1" t="n">
        <v>46222</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s="2" t="inlineStr"/>
    </row>
    <row r="86" ht="15" customHeight="1">
      <c r="A86" t="inlineStr">
        <is>
          <t>A 51545-2023</t>
        </is>
      </c>
      <c r="B86" t="inlineStr">
        <is>
          <t>avverkningsanmälan</t>
        </is>
      </c>
      <c r="C86" t="inlineStr">
        <is>
          <t>Föryngringsavverkning</t>
        </is>
      </c>
      <c r="D86" s="1" t="n">
        <v>45222</v>
      </c>
      <c r="E86" s="1" t="n">
        <v>46222</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s="2" t="inlineStr"/>
    </row>
    <row r="87" ht="15" customHeight="1">
      <c r="A87" t="inlineStr">
        <is>
          <t>A 40290-2024</t>
        </is>
      </c>
      <c r="B87" t="inlineStr">
        <is>
          <t>avverkningsanmälan</t>
        </is>
      </c>
      <c r="C87" t="inlineStr">
        <is>
          <t>Föryngringsavverkning</t>
        </is>
      </c>
      <c r="D87" s="1" t="n">
        <v>45554</v>
      </c>
      <c r="E87" s="1" t="n">
        <v>46222</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s="2" t="inlineStr"/>
    </row>
    <row r="88" ht="15" customHeight="1">
      <c r="A88" t="inlineStr">
        <is>
          <t>A 25944-2024</t>
        </is>
      </c>
      <c r="B88" t="inlineStr">
        <is>
          <t>avverkningsanmälan</t>
        </is>
      </c>
      <c r="C88" t="inlineStr">
        <is>
          <t>Föryngringsavverkning</t>
        </is>
      </c>
      <c r="D88" s="1" t="n">
        <v>45467</v>
      </c>
      <c r="E88" s="1" t="n">
        <v>46222</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s="2" t="inlineStr"/>
    </row>
    <row r="89" ht="15" customHeight="1">
      <c r="A89" t="inlineStr">
        <is>
          <t>A 60790-2023</t>
        </is>
      </c>
      <c r="B89" t="inlineStr">
        <is>
          <t>avverkningsanmälan</t>
        </is>
      </c>
      <c r="C89" t="inlineStr">
        <is>
          <t>Föryngringsavverkning</t>
        </is>
      </c>
      <c r="D89" s="1" t="n">
        <v>45259</v>
      </c>
      <c r="E89" s="1" t="n">
        <v>46222</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s="2" t="inlineStr"/>
    </row>
    <row r="90" ht="15" customHeight="1">
      <c r="A90" t="inlineStr">
        <is>
          <t>A 60210-2023</t>
        </is>
      </c>
      <c r="B90" t="inlineStr">
        <is>
          <t>avverkningsanmälan</t>
        </is>
      </c>
      <c r="C90" t="inlineStr">
        <is>
          <t>Föryngringsavverkning</t>
        </is>
      </c>
      <c r="D90" s="1" t="n">
        <v>45258</v>
      </c>
      <c r="E90" s="1" t="n">
        <v>46222</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s="2" t="inlineStr"/>
    </row>
    <row r="91" ht="15" customHeight="1">
      <c r="A91" t="inlineStr">
        <is>
          <t>A 15746-2023</t>
        </is>
      </c>
      <c r="B91" t="inlineStr">
        <is>
          <t>avverkningsanmälan</t>
        </is>
      </c>
      <c r="C91" t="inlineStr">
        <is>
          <t>Föryngringsavverkning</t>
        </is>
      </c>
      <c r="D91" s="1" t="n">
        <v>45021</v>
      </c>
      <c r="E91" s="1" t="n">
        <v>46222</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s="2" t="inlineStr"/>
    </row>
    <row r="92" ht="15" customHeight="1">
      <c r="A92" t="inlineStr">
        <is>
          <t>A 48373-2022</t>
        </is>
      </c>
      <c r="B92" t="inlineStr">
        <is>
          <t>avverkningsanmälan</t>
        </is>
      </c>
      <c r="C92" t="inlineStr">
        <is>
          <t>Föryngringsavverkning</t>
        </is>
      </c>
      <c r="D92" s="1" t="n">
        <v>44858</v>
      </c>
      <c r="E92" s="1" t="n">
        <v>46222</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59779-2022</t>
        </is>
      </c>
      <c r="B93" t="inlineStr">
        <is>
          <t>avverkningsanmälan</t>
        </is>
      </c>
      <c r="C93" t="inlineStr">
        <is>
          <t>Föryngringsavverkning</t>
        </is>
      </c>
      <c r="D93" s="1" t="n">
        <v>44908</v>
      </c>
      <c r="E93" s="1" t="n">
        <v>46222</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s="2" t="inlineStr"/>
    </row>
    <row r="94" ht="15" customHeight="1">
      <c r="A94" t="inlineStr">
        <is>
          <t>A 1539-2025</t>
        </is>
      </c>
      <c r="B94" t="inlineStr">
        <is>
          <t>avverkningsanmälan</t>
        </is>
      </c>
      <c r="C94" t="inlineStr">
        <is>
          <t>Föryngringsavverkning</t>
        </is>
      </c>
      <c r="D94" s="1" t="n">
        <v>45670</v>
      </c>
      <c r="E94" s="1" t="n">
        <v>46222</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s="2" t="inlineStr"/>
    </row>
    <row r="95" ht="15" customHeight="1">
      <c r="A95" t="inlineStr">
        <is>
          <t>A 26643-2025</t>
        </is>
      </c>
      <c r="B95" t="inlineStr">
        <is>
          <t>avverkningsanmälan</t>
        </is>
      </c>
      <c r="C95" t="inlineStr">
        <is>
          <t>Föryngringsavverkning</t>
        </is>
      </c>
      <c r="D95" s="1" t="n">
        <v>45809</v>
      </c>
      <c r="E95" s="1" t="n">
        <v>46222</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4005-2026</t>
        </is>
      </c>
      <c r="B96" t="inlineStr">
        <is>
          <t>avverkningsanmälan</t>
        </is>
      </c>
      <c r="C96" t="inlineStr">
        <is>
          <t>Föryngringsavverkning</t>
        </is>
      </c>
      <c r="D96" s="1" t="n">
        <v>46044</v>
      </c>
      <c r="E96" s="1" t="n">
        <v>46222</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s="2" t="inlineStr"/>
    </row>
    <row r="97" ht="15" customHeight="1">
      <c r="A97" t="inlineStr">
        <is>
          <t>A 19356-2022</t>
        </is>
      </c>
      <c r="B97" t="inlineStr">
        <is>
          <t>avverkningsanmälan</t>
        </is>
      </c>
      <c r="C97" t="inlineStr">
        <is>
          <t>Föryngringsavverkning</t>
        </is>
      </c>
      <c r="D97" s="1" t="n">
        <v>44692</v>
      </c>
      <c r="E97" s="1" t="n">
        <v>46222</v>
      </c>
      <c r="F97" t="inlineStr">
        <is>
          <t>ÖSTERGÖTLANDS LÄN</t>
        </is>
      </c>
      <c r="G97" t="inlineStr">
        <is>
          <t>BOXHOLM</t>
        </is>
      </c>
      <c r="I97" t="n">
        <v>2.5</v>
      </c>
      <c r="J97" t="n">
        <v>0</v>
      </c>
      <c r="K97" t="n">
        <v>0</v>
      </c>
      <c r="L97" t="n">
        <v>0</v>
      </c>
      <c r="M97" t="n">
        <v>0</v>
      </c>
      <c r="N97" t="n">
        <v>0</v>
      </c>
      <c r="O97" t="n">
        <v>0</v>
      </c>
      <c r="P97" t="n">
        <v>0</v>
      </c>
      <c r="Q97" t="n">
        <v>0</v>
      </c>
      <c r="R97" t="n">
        <v>0</v>
      </c>
      <c r="S97" t="n">
        <v>0</v>
      </c>
      <c r="T97" t="n">
        <v>0</v>
      </c>
      <c r="U97" s="2" t="inlineStr"/>
    </row>
    <row r="98" ht="15" customHeight="1">
      <c r="A98" t="inlineStr">
        <is>
          <t>A 39486-2024</t>
        </is>
      </c>
      <c r="B98" t="inlineStr">
        <is>
          <t>avverkningsanmälan</t>
        </is>
      </c>
      <c r="C98" t="inlineStr">
        <is>
          <t>Föryngringsavverkning</t>
        </is>
      </c>
      <c r="D98" s="1" t="n">
        <v>45551</v>
      </c>
      <c r="E98" s="1" t="n">
        <v>46222</v>
      </c>
      <c r="F98" t="inlineStr">
        <is>
          <t>ÖSTERGÖTLANDS LÄN</t>
        </is>
      </c>
      <c r="G98" t="inlineStr">
        <is>
          <t>BOXHOLM</t>
        </is>
      </c>
      <c r="H98" t="inlineStr">
        <is>
          <t>Allmännings- och besparingsskogar</t>
        </is>
      </c>
      <c r="I98" t="n">
        <v>6</v>
      </c>
      <c r="J98" t="n">
        <v>0</v>
      </c>
      <c r="K98" t="n">
        <v>0</v>
      </c>
      <c r="L98" t="n">
        <v>0</v>
      </c>
      <c r="M98" t="n">
        <v>0</v>
      </c>
      <c r="N98" t="n">
        <v>0</v>
      </c>
      <c r="O98" t="n">
        <v>0</v>
      </c>
      <c r="P98" t="n">
        <v>0</v>
      </c>
      <c r="Q98" t="n">
        <v>0</v>
      </c>
      <c r="R98" t="n">
        <v>0</v>
      </c>
      <c r="S98" t="n">
        <v>0</v>
      </c>
      <c r="T98" t="n">
        <v>0</v>
      </c>
      <c r="U98" s="2" t="inlineStr"/>
    </row>
    <row r="99" ht="15" customHeight="1">
      <c r="A99" t="inlineStr">
        <is>
          <t>A 41080-2024</t>
        </is>
      </c>
      <c r="B99" t="inlineStr">
        <is>
          <t>avverkningsanmälan</t>
        </is>
      </c>
      <c r="C99" t="inlineStr">
        <is>
          <t>Föryngringsavverkning</t>
        </is>
      </c>
      <c r="D99" s="1" t="n">
        <v>45559</v>
      </c>
      <c r="E99" s="1" t="n">
        <v>46222</v>
      </c>
      <c r="F99" t="inlineStr">
        <is>
          <t>ÖSTERGÖTLANDS LÄN</t>
        </is>
      </c>
      <c r="G99" t="inlineStr">
        <is>
          <t>BOXHOLM</t>
        </is>
      </c>
      <c r="H99" t="inlineStr">
        <is>
          <t>Allmännings- och besparingsskogar</t>
        </is>
      </c>
      <c r="I99" t="n">
        <v>7</v>
      </c>
      <c r="J99" t="n">
        <v>0</v>
      </c>
      <c r="K99" t="n">
        <v>0</v>
      </c>
      <c r="L99" t="n">
        <v>0</v>
      </c>
      <c r="M99" t="n">
        <v>0</v>
      </c>
      <c r="N99" t="n">
        <v>0</v>
      </c>
      <c r="O99" t="n">
        <v>0</v>
      </c>
      <c r="P99" t="n">
        <v>0</v>
      </c>
      <c r="Q99" t="n">
        <v>0</v>
      </c>
      <c r="R99" t="n">
        <v>0</v>
      </c>
      <c r="S99" t="n">
        <v>0</v>
      </c>
      <c r="T99" t="n">
        <v>0</v>
      </c>
      <c r="U99" s="2" t="inlineStr"/>
    </row>
    <row r="100" ht="15" customHeight="1">
      <c r="A100" t="inlineStr">
        <is>
          <t>A 1597-2023</t>
        </is>
      </c>
      <c r="B100" t="inlineStr">
        <is>
          <t>avverkningsanmälan</t>
        </is>
      </c>
      <c r="C100" t="inlineStr">
        <is>
          <t>Föryngringsavverkning</t>
        </is>
      </c>
      <c r="D100" s="1" t="n">
        <v>44937</v>
      </c>
      <c r="E100" s="1" t="n">
        <v>46222</v>
      </c>
      <c r="F100" t="inlineStr">
        <is>
          <t>ÖSTERGÖTLANDS LÄN</t>
        </is>
      </c>
      <c r="G100" t="inlineStr">
        <is>
          <t>BOXHOLM</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51757-2023</t>
        </is>
      </c>
      <c r="B101" t="inlineStr">
        <is>
          <t>avverkningsanmälan</t>
        </is>
      </c>
      <c r="C101" t="inlineStr">
        <is>
          <t>Föryngringsavverkning</t>
        </is>
      </c>
      <c r="D101" s="1" t="n">
        <v>45222</v>
      </c>
      <c r="E101" s="1" t="n">
        <v>46222</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55181-2022</t>
        </is>
      </c>
      <c r="B102" t="inlineStr">
        <is>
          <t>avverkningsanmälan</t>
        </is>
      </c>
      <c r="C102" t="inlineStr">
        <is>
          <t>Föryngringsavverkning</t>
        </is>
      </c>
      <c r="D102" s="1" t="n">
        <v>44886</v>
      </c>
      <c r="E102" s="1" t="n">
        <v>46222</v>
      </c>
      <c r="F102" t="inlineStr">
        <is>
          <t>ÖSTERGÖTLANDS LÄN</t>
        </is>
      </c>
      <c r="G102" t="inlineStr">
        <is>
          <t>BOXHOLM</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55183-2022</t>
        </is>
      </c>
      <c r="B103" t="inlineStr">
        <is>
          <t>avverkningsanmälan</t>
        </is>
      </c>
      <c r="C103" t="inlineStr">
        <is>
          <t>Föryngringsavverkning</t>
        </is>
      </c>
      <c r="D103" s="1" t="n">
        <v>44886</v>
      </c>
      <c r="E103" s="1" t="n">
        <v>46222</v>
      </c>
      <c r="F103" t="inlineStr">
        <is>
          <t>ÖSTERGÖTLANDS LÄN</t>
        </is>
      </c>
      <c r="G103" t="inlineStr">
        <is>
          <t>BOXHOLM</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55252-2022</t>
        </is>
      </c>
      <c r="B104" t="inlineStr">
        <is>
          <t>avverkningsanmälan</t>
        </is>
      </c>
      <c r="C104" t="inlineStr">
        <is>
          <t>Föryngringsavverkning</t>
        </is>
      </c>
      <c r="D104" s="1" t="n">
        <v>44887</v>
      </c>
      <c r="E104" s="1" t="n">
        <v>46222</v>
      </c>
      <c r="F104" t="inlineStr">
        <is>
          <t>ÖSTERGÖTLANDS LÄN</t>
        </is>
      </c>
      <c r="G104" t="inlineStr">
        <is>
          <t>BOXHOLM</t>
        </is>
      </c>
      <c r="H104" t="inlineStr">
        <is>
          <t>Övriga Aktiebolag</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39693-2024</t>
        </is>
      </c>
      <c r="B105" t="inlineStr">
        <is>
          <t>avverkningsanmälan</t>
        </is>
      </c>
      <c r="C105" t="inlineStr">
        <is>
          <t>Föryngringsavverkning</t>
        </is>
      </c>
      <c r="D105" s="1" t="n">
        <v>45552</v>
      </c>
      <c r="E105" s="1" t="n">
        <v>46222</v>
      </c>
      <c r="F105" t="inlineStr">
        <is>
          <t>ÖSTERGÖTLANDS LÄN</t>
        </is>
      </c>
      <c r="G105" t="inlineStr">
        <is>
          <t>BOXHOLM</t>
        </is>
      </c>
      <c r="H105" t="inlineStr">
        <is>
          <t>Allmännings- och besparingsskogar</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40583-2025</t>
        </is>
      </c>
      <c r="B106" t="inlineStr">
        <is>
          <t>avverkningsanmälan</t>
        </is>
      </c>
      <c r="C106" t="inlineStr">
        <is>
          <t>Föryngringsavverkning</t>
        </is>
      </c>
      <c r="D106" s="1" t="n">
        <v>45896</v>
      </c>
      <c r="E106" s="1" t="n">
        <v>46222</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s="2" t="inlineStr"/>
    </row>
    <row r="107" ht="15" customHeight="1">
      <c r="A107" t="inlineStr">
        <is>
          <t>A 40594-2025</t>
        </is>
      </c>
      <c r="B107" t="inlineStr">
        <is>
          <t>avverkningsanmälan</t>
        </is>
      </c>
      <c r="C107" t="inlineStr">
        <is>
          <t>Föryngringsavverkning</t>
        </is>
      </c>
      <c r="D107" s="1" t="n">
        <v>45896</v>
      </c>
      <c r="E107" s="1" t="n">
        <v>46222</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45859-2024</t>
        </is>
      </c>
      <c r="B108" t="inlineStr">
        <is>
          <t>avverkningsanmälan</t>
        </is>
      </c>
      <c r="C108" t="inlineStr">
        <is>
          <t>Föryngringsavverkning</t>
        </is>
      </c>
      <c r="D108" s="1" t="n">
        <v>45580</v>
      </c>
      <c r="E108" s="1" t="n">
        <v>46222</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53316-2024</t>
        </is>
      </c>
      <c r="B109" t="inlineStr">
        <is>
          <t>avverkningsanmälan</t>
        </is>
      </c>
      <c r="C109" t="inlineStr">
        <is>
          <t>Föryngringsavverkning</t>
        </is>
      </c>
      <c r="D109" s="1" t="n">
        <v>45614</v>
      </c>
      <c r="E109" s="1" t="n">
        <v>46222</v>
      </c>
      <c r="F109" t="inlineStr">
        <is>
          <t>ÖSTERGÖTLANDS LÄN</t>
        </is>
      </c>
      <c r="G109" t="inlineStr">
        <is>
          <t>BOXHOLM</t>
        </is>
      </c>
      <c r="H109" t="inlineStr">
        <is>
          <t>Övriga Aktiebolag</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53356-2024</t>
        </is>
      </c>
      <c r="B110" t="inlineStr">
        <is>
          <t>avverkningsanmälan</t>
        </is>
      </c>
      <c r="C110" t="inlineStr">
        <is>
          <t>Föryngringsavverkning</t>
        </is>
      </c>
      <c r="D110" s="1" t="n">
        <v>45614</v>
      </c>
      <c r="E110" s="1" t="n">
        <v>46222</v>
      </c>
      <c r="F110" t="inlineStr">
        <is>
          <t>ÖSTERGÖTLANDS LÄN</t>
        </is>
      </c>
      <c r="G110" t="inlineStr">
        <is>
          <t>BOXHOLM</t>
        </is>
      </c>
      <c r="H110" t="inlineStr">
        <is>
          <t>Övriga Aktiebolag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41741-2025</t>
        </is>
      </c>
      <c r="B111" t="inlineStr">
        <is>
          <t>avverkningsanmälan</t>
        </is>
      </c>
      <c r="C111" t="inlineStr">
        <is>
          <t>Avverkning för att bevara och utveckla /försöksver</t>
        </is>
      </c>
      <c r="D111" s="1" t="n">
        <v>45902</v>
      </c>
      <c r="E111" s="1" t="n">
        <v>46222</v>
      </c>
      <c r="F111" t="inlineStr">
        <is>
          <t>ÖSTERGÖTLANDS LÄN</t>
        </is>
      </c>
      <c r="G111" t="inlineStr">
        <is>
          <t>BOXHOLM</t>
        </is>
      </c>
      <c r="H111" t="inlineStr">
        <is>
          <t>Övriga Aktiebolag</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51763-2023</t>
        </is>
      </c>
      <c r="B112" t="inlineStr">
        <is>
          <t>avverkningsanmälan</t>
        </is>
      </c>
      <c r="C112" t="inlineStr">
        <is>
          <t>Föryngringsavverkning</t>
        </is>
      </c>
      <c r="D112" s="1" t="n">
        <v>45222</v>
      </c>
      <c r="E112" s="1" t="n">
        <v>46222</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22046-2022</t>
        </is>
      </c>
      <c r="B113" t="inlineStr">
        <is>
          <t>avverkningsanmälan</t>
        </is>
      </c>
      <c r="C113" t="inlineStr">
        <is>
          <t>Föryngringsavverkning</t>
        </is>
      </c>
      <c r="D113" s="1" t="n">
        <v>44711</v>
      </c>
      <c r="E113" s="1" t="n">
        <v>46222</v>
      </c>
      <c r="F113" t="inlineStr">
        <is>
          <t>ÖSTERGÖTLANDS LÄN</t>
        </is>
      </c>
      <c r="G113" t="inlineStr">
        <is>
          <t>BOXHOLM</t>
        </is>
      </c>
      <c r="H113" t="inlineStr">
        <is>
          <t>Övriga Aktiebolag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51625-2022</t>
        </is>
      </c>
      <c r="B114" t="inlineStr">
        <is>
          <t>avverkningsanmälan</t>
        </is>
      </c>
      <c r="C114" t="inlineStr">
        <is>
          <t>Föryngringsavverkning</t>
        </is>
      </c>
      <c r="D114" s="1" t="n">
        <v>44872</v>
      </c>
      <c r="E114" s="1" t="n">
        <v>46222</v>
      </c>
      <c r="F114" t="inlineStr">
        <is>
          <t>ÖSTERGÖTLANDS LÄN</t>
        </is>
      </c>
      <c r="G114" t="inlineStr">
        <is>
          <t>BOXHOLM</t>
        </is>
      </c>
      <c r="H114" t="inlineStr">
        <is>
          <t>Övriga Aktiebolag</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43599-2025</t>
        </is>
      </c>
      <c r="B115" t="inlineStr">
        <is>
          <t>avverkningsanmälan</t>
        </is>
      </c>
      <c r="C115" t="inlineStr">
        <is>
          <t>Föryngringsavverkning</t>
        </is>
      </c>
      <c r="D115" s="1" t="n">
        <v>45911</v>
      </c>
      <c r="E115" s="1" t="n">
        <v>46222</v>
      </c>
      <c r="F115" t="inlineStr">
        <is>
          <t>ÖSTERGÖTLANDS LÄN</t>
        </is>
      </c>
      <c r="G115" t="inlineStr">
        <is>
          <t>BOXHOLM</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44758-2025</t>
        </is>
      </c>
      <c r="B116" t="inlineStr">
        <is>
          <t>avverkningsanmälan</t>
        </is>
      </c>
      <c r="C116" t="inlineStr">
        <is>
          <t>Föryngringsavverkning</t>
        </is>
      </c>
      <c r="D116" s="1" t="n">
        <v>45917</v>
      </c>
      <c r="E116" s="1" t="n">
        <v>46222</v>
      </c>
      <c r="F116" t="inlineStr">
        <is>
          <t>ÖSTERGÖTLANDS LÄN</t>
        </is>
      </c>
      <c r="G116" t="inlineStr">
        <is>
          <t>BOXHOLM</t>
        </is>
      </c>
      <c r="I116" t="n">
        <v>5.6</v>
      </c>
      <c r="J116" t="n">
        <v>0</v>
      </c>
      <c r="K116" t="n">
        <v>0</v>
      </c>
      <c r="L116" t="n">
        <v>0</v>
      </c>
      <c r="M116" t="n">
        <v>0</v>
      </c>
      <c r="N116" t="n">
        <v>0</v>
      </c>
      <c r="O116" t="n">
        <v>0</v>
      </c>
      <c r="P116" t="n">
        <v>0</v>
      </c>
      <c r="Q116" t="n">
        <v>0</v>
      </c>
      <c r="R116" t="n">
        <v>0</v>
      </c>
      <c r="S116" t="n">
        <v>0</v>
      </c>
      <c r="T116" t="n">
        <v>0</v>
      </c>
      <c r="U116" s="2" t="inlineStr"/>
    </row>
    <row r="117" ht="15" customHeight="1">
      <c r="A117" t="inlineStr">
        <is>
          <t>A 44803-2025</t>
        </is>
      </c>
      <c r="B117" t="inlineStr">
        <is>
          <t>avverkningsanmälan</t>
        </is>
      </c>
      <c r="C117" t="inlineStr">
        <is>
          <t>Föryngringsavverkning</t>
        </is>
      </c>
      <c r="D117" s="1" t="n">
        <v>45918</v>
      </c>
      <c r="E117" s="1" t="n">
        <v>46222</v>
      </c>
      <c r="F117" t="inlineStr">
        <is>
          <t>ÖSTERGÖTLANDS LÄN</t>
        </is>
      </c>
      <c r="G117" t="inlineStr">
        <is>
          <t>BOXHOLM</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44658-2025</t>
        </is>
      </c>
      <c r="B118" t="inlineStr">
        <is>
          <t>avverkningsanmälan</t>
        </is>
      </c>
      <c r="C118" t="inlineStr">
        <is>
          <t>Avverkning för att bevara och utveckla /försöksver</t>
        </is>
      </c>
      <c r="D118" s="1" t="n">
        <v>45917</v>
      </c>
      <c r="E118" s="1" t="n">
        <v>46222</v>
      </c>
      <c r="F118" t="inlineStr">
        <is>
          <t>ÖSTERGÖTLANDS LÄN</t>
        </is>
      </c>
      <c r="G118" t="inlineStr">
        <is>
          <t>BOXHOLM</t>
        </is>
      </c>
      <c r="H118" t="inlineStr">
        <is>
          <t>Övriga Aktiebolag</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16635-2022</t>
        </is>
      </c>
      <c r="B119" t="inlineStr">
        <is>
          <t>avverkningsanmälan</t>
        </is>
      </c>
      <c r="C119" t="inlineStr">
        <is>
          <t>Föryngringsavverkning</t>
        </is>
      </c>
      <c r="D119" s="1" t="n">
        <v>44672</v>
      </c>
      <c r="E119" s="1" t="n">
        <v>46222</v>
      </c>
      <c r="F119" t="inlineStr">
        <is>
          <t>ÖSTERGÖTLANDS LÄN</t>
        </is>
      </c>
      <c r="G119" t="inlineStr">
        <is>
          <t>BOXHOLM</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44696-2025</t>
        </is>
      </c>
      <c r="B120" t="inlineStr">
        <is>
          <t>avverkningsanmälan</t>
        </is>
      </c>
      <c r="C120" t="inlineStr">
        <is>
          <t>Föryngringsavverkning</t>
        </is>
      </c>
      <c r="D120" s="1" t="n">
        <v>45917</v>
      </c>
      <c r="E120" s="1" t="n">
        <v>46222</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44706-2025</t>
        </is>
      </c>
      <c r="B121" t="inlineStr">
        <is>
          <t>avverkningsanmälan</t>
        </is>
      </c>
      <c r="C121" t="inlineStr">
        <is>
          <t>Föryngringsavverkning</t>
        </is>
      </c>
      <c r="D121" s="1" t="n">
        <v>45917</v>
      </c>
      <c r="E121" s="1" t="n">
        <v>46222</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44703-2025</t>
        </is>
      </c>
      <c r="B122" t="inlineStr">
        <is>
          <t>avverkningsanmälan</t>
        </is>
      </c>
      <c r="C122" t="inlineStr">
        <is>
          <t>Föryngringsavverkning</t>
        </is>
      </c>
      <c r="D122" s="1" t="n">
        <v>45917</v>
      </c>
      <c r="E122" s="1" t="n">
        <v>46222</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45266-2025</t>
        </is>
      </c>
      <c r="B123" t="inlineStr">
        <is>
          <t>avverkningsanmälan</t>
        </is>
      </c>
      <c r="C123" t="inlineStr">
        <is>
          <t>Föryngringsavverkning</t>
        </is>
      </c>
      <c r="D123" s="1" t="n">
        <v>45919</v>
      </c>
      <c r="E123" s="1" t="n">
        <v>46222</v>
      </c>
      <c r="F123" t="inlineStr">
        <is>
          <t>ÖSTERGÖTLANDS LÄN</t>
        </is>
      </c>
      <c r="G123" t="inlineStr">
        <is>
          <t>BOXHOLM</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29612-2025</t>
        </is>
      </c>
      <c r="B124" t="inlineStr">
        <is>
          <t>avverkningsanmälan</t>
        </is>
      </c>
      <c r="C124" t="inlineStr">
        <is>
          <t>Föryngringsavverkning</t>
        </is>
      </c>
      <c r="D124" s="1" t="n">
        <v>45825</v>
      </c>
      <c r="E124" s="1" t="n">
        <v>46222</v>
      </c>
      <c r="F124" t="inlineStr">
        <is>
          <t>ÖSTERGÖTLANDS LÄN</t>
        </is>
      </c>
      <c r="G124" t="inlineStr">
        <is>
          <t>BOXHOLM</t>
        </is>
      </c>
      <c r="H124" t="inlineStr">
        <is>
          <t>Övriga Aktiebolag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46200-2025</t>
        </is>
      </c>
      <c r="B125" t="inlineStr">
        <is>
          <t>avverkningsanmälan</t>
        </is>
      </c>
      <c r="C125" t="inlineStr">
        <is>
          <t>Föryngringsavverkning</t>
        </is>
      </c>
      <c r="D125" s="1" t="n">
        <v>45924</v>
      </c>
      <c r="E125" s="1" t="n">
        <v>46222</v>
      </c>
      <c r="F125" t="inlineStr">
        <is>
          <t>ÖSTERGÖTLANDS LÄN</t>
        </is>
      </c>
      <c r="G125" t="inlineStr">
        <is>
          <t>BOXHOLM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2198-2023</t>
        </is>
      </c>
      <c r="B126" t="inlineStr">
        <is>
          <t>avverkningsanmälan</t>
        </is>
      </c>
      <c r="C126" t="inlineStr">
        <is>
          <t>Föryngringsavverkning</t>
        </is>
      </c>
      <c r="D126" s="1" t="n">
        <v>44942</v>
      </c>
      <c r="E126" s="1" t="n">
        <v>46222</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46199-2025</t>
        </is>
      </c>
      <c r="B127" t="inlineStr">
        <is>
          <t>avverkningsanmälan</t>
        </is>
      </c>
      <c r="C127" t="inlineStr">
        <is>
          <t>Föryngringsavverkning</t>
        </is>
      </c>
      <c r="D127" s="1" t="n">
        <v>45924</v>
      </c>
      <c r="E127" s="1" t="n">
        <v>46222</v>
      </c>
      <c r="F127" t="inlineStr">
        <is>
          <t>ÖSTERGÖTLANDS LÄN</t>
        </is>
      </c>
      <c r="G127" t="inlineStr">
        <is>
          <t>BOXHOLM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57132-2024</t>
        </is>
      </c>
      <c r="B128" t="inlineStr">
        <is>
          <t>avverkningsanmälan</t>
        </is>
      </c>
      <c r="C128" t="inlineStr">
        <is>
          <t>Avverkning för att bevara och utveckla /försöksver</t>
        </is>
      </c>
      <c r="D128" s="1" t="n">
        <v>45629</v>
      </c>
      <c r="E128" s="1" t="n">
        <v>46222</v>
      </c>
      <c r="F128" t="inlineStr">
        <is>
          <t>ÖSTERGÖTLANDS LÄN</t>
        </is>
      </c>
      <c r="G128" t="inlineStr">
        <is>
          <t>BOXHOLM</t>
        </is>
      </c>
      <c r="H128" t="inlineStr">
        <is>
          <t>Övriga Aktiebolag</t>
        </is>
      </c>
      <c r="I128" t="n">
        <v>7</v>
      </c>
      <c r="J128" t="n">
        <v>0</v>
      </c>
      <c r="K128" t="n">
        <v>0</v>
      </c>
      <c r="L128" t="n">
        <v>0</v>
      </c>
      <c r="M128" t="n">
        <v>0</v>
      </c>
      <c r="N128" t="n">
        <v>0</v>
      </c>
      <c r="O128" t="n">
        <v>0</v>
      </c>
      <c r="P128" t="n">
        <v>0</v>
      </c>
      <c r="Q128" t="n">
        <v>0</v>
      </c>
      <c r="R128" t="n">
        <v>0</v>
      </c>
      <c r="S128" t="n">
        <v>0</v>
      </c>
      <c r="T128" t="n">
        <v>0</v>
      </c>
      <c r="U128" s="2" t="inlineStr"/>
    </row>
    <row r="129" ht="15" customHeight="1">
      <c r="A129" t="inlineStr">
        <is>
          <t>A 1666-2025</t>
        </is>
      </c>
      <c r="B129" t="inlineStr">
        <is>
          <t>avverkningsanmälan</t>
        </is>
      </c>
      <c r="C129" t="inlineStr">
        <is>
          <t>Föryngringsavverkning</t>
        </is>
      </c>
      <c r="D129" s="1" t="n">
        <v>45670</v>
      </c>
      <c r="E129" s="1" t="n">
        <v>46222</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s="2" t="inlineStr"/>
    </row>
    <row r="130" ht="15" customHeight="1">
      <c r="A130" t="inlineStr">
        <is>
          <t>A 46867-2025</t>
        </is>
      </c>
      <c r="B130" t="inlineStr">
        <is>
          <t>avverkningsanmälan</t>
        </is>
      </c>
      <c r="C130" t="inlineStr">
        <is>
          <t>Föryngringsavverkning</t>
        </is>
      </c>
      <c r="D130" s="1" t="n">
        <v>45929</v>
      </c>
      <c r="E130" s="1" t="n">
        <v>46222</v>
      </c>
      <c r="F130" t="inlineStr">
        <is>
          <t>ÖSTERGÖTLANDS LÄN</t>
        </is>
      </c>
      <c r="G130" t="inlineStr">
        <is>
          <t>BOXHOLM</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35440-2025</t>
        </is>
      </c>
      <c r="B131" t="inlineStr">
        <is>
          <t>avverkningsanmälan</t>
        </is>
      </c>
      <c r="C131" t="inlineStr">
        <is>
          <t>Avverkning för annat ändamål</t>
        </is>
      </c>
      <c r="D131" s="1" t="n">
        <v>45855</v>
      </c>
      <c r="E131" s="1" t="n">
        <v>46222</v>
      </c>
      <c r="F131" t="inlineStr">
        <is>
          <t>ÖSTERGÖTLANDS LÄN</t>
        </is>
      </c>
      <c r="G131" t="inlineStr">
        <is>
          <t>BOXHOLM</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46519-2025</t>
        </is>
      </c>
      <c r="B132" t="inlineStr">
        <is>
          <t>avverkningsanmälan</t>
        </is>
      </c>
      <c r="C132" t="inlineStr">
        <is>
          <t>Föryngringsavverkning</t>
        </is>
      </c>
      <c r="D132" s="1" t="n">
        <v>45924</v>
      </c>
      <c r="E132" s="1" t="n">
        <v>46222</v>
      </c>
      <c r="F132" t="inlineStr">
        <is>
          <t>ÖSTERGÖTLANDS LÄN</t>
        </is>
      </c>
      <c r="G132" t="inlineStr">
        <is>
          <t>BOXHOLM</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47446-2025</t>
        </is>
      </c>
      <c r="B133" t="inlineStr">
        <is>
          <t>avverkningsanmälan</t>
        </is>
      </c>
      <c r="C133" t="inlineStr">
        <is>
          <t>Föryngringsavverkning</t>
        </is>
      </c>
      <c r="D133" s="1" t="n">
        <v>45930</v>
      </c>
      <c r="E133" s="1" t="n">
        <v>46222</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s="2" t="inlineStr"/>
    </row>
    <row r="134" ht="15" customHeight="1">
      <c r="A134" t="inlineStr">
        <is>
          <t>A 35765-2025</t>
        </is>
      </c>
      <c r="B134" t="inlineStr">
        <is>
          <t>avverkningsanmälan</t>
        </is>
      </c>
      <c r="C134" t="inlineStr">
        <is>
          <t>Föryngringsavverkning</t>
        </is>
      </c>
      <c r="D134" s="1" t="n">
        <v>45860</v>
      </c>
      <c r="E134" s="1" t="n">
        <v>46222</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25431-2023</t>
        </is>
      </c>
      <c r="B135" t="inlineStr">
        <is>
          <t>avverkningsanmälan</t>
        </is>
      </c>
      <c r="C135" t="inlineStr">
        <is>
          <t>Föryngringsavverkning</t>
        </is>
      </c>
      <c r="D135" s="1" t="n">
        <v>45089</v>
      </c>
      <c r="E135" s="1" t="n">
        <v>46222</v>
      </c>
      <c r="F135" t="inlineStr">
        <is>
          <t>ÖSTERGÖTLANDS LÄN</t>
        </is>
      </c>
      <c r="G135" t="inlineStr">
        <is>
          <t>BOXHOLM</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15476-2023</t>
        </is>
      </c>
      <c r="B136" t="inlineStr">
        <is>
          <t>avverkningsanmälan</t>
        </is>
      </c>
      <c r="C136" t="inlineStr">
        <is>
          <t>Föryngringsavverkning</t>
        </is>
      </c>
      <c r="D136" s="1" t="n">
        <v>45020</v>
      </c>
      <c r="E136" s="1" t="n">
        <v>46222</v>
      </c>
      <c r="F136" t="inlineStr">
        <is>
          <t>ÖSTERGÖTLANDS LÄN</t>
        </is>
      </c>
      <c r="G136" t="inlineStr">
        <is>
          <t>BOXHOLM</t>
        </is>
      </c>
      <c r="I136" t="n">
        <v>0</v>
      </c>
      <c r="J136" t="n">
        <v>0</v>
      </c>
      <c r="K136" t="n">
        <v>0</v>
      </c>
      <c r="L136" t="n">
        <v>0</v>
      </c>
      <c r="M136" t="n">
        <v>0</v>
      </c>
      <c r="N136" t="n">
        <v>0</v>
      </c>
      <c r="O136" t="n">
        <v>0</v>
      </c>
      <c r="P136" t="n">
        <v>0</v>
      </c>
      <c r="Q136" t="n">
        <v>0</v>
      </c>
      <c r="R136" t="n">
        <v>0</v>
      </c>
      <c r="S136" t="n">
        <v>0</v>
      </c>
      <c r="T136" t="n">
        <v>0</v>
      </c>
      <c r="U136" s="2" t="inlineStr"/>
    </row>
    <row r="137" ht="15" customHeight="1">
      <c r="A137" t="inlineStr">
        <is>
          <t>A 15502-2023</t>
        </is>
      </c>
      <c r="B137" t="inlineStr">
        <is>
          <t>avverkningsanmälan</t>
        </is>
      </c>
      <c r="C137" t="inlineStr">
        <is>
          <t>Föryngringsavverkning</t>
        </is>
      </c>
      <c r="D137" s="1" t="n">
        <v>45020</v>
      </c>
      <c r="E137" s="1" t="n">
        <v>46222</v>
      </c>
      <c r="F137" t="inlineStr">
        <is>
          <t>ÖSTERGÖTLANDS LÄN</t>
        </is>
      </c>
      <c r="G137" t="inlineStr">
        <is>
          <t>BOXHOLM</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36202-2025</t>
        </is>
      </c>
      <c r="B138" t="inlineStr">
        <is>
          <t>avverkningsanmälan</t>
        </is>
      </c>
      <c r="C138" t="inlineStr">
        <is>
          <t>Avverkning för att bevara och utveckla /försöksver</t>
        </is>
      </c>
      <c r="D138" s="1" t="n">
        <v>45867</v>
      </c>
      <c r="E138" s="1" t="n">
        <v>46222</v>
      </c>
      <c r="F138" t="inlineStr">
        <is>
          <t>ÖSTERGÖTLANDS LÄN</t>
        </is>
      </c>
      <c r="G138" t="inlineStr">
        <is>
          <t>BOXHOLM</t>
        </is>
      </c>
      <c r="H138" t="inlineStr">
        <is>
          <t>Övriga Aktiebolag</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36177-2025</t>
        </is>
      </c>
      <c r="B139" t="inlineStr">
        <is>
          <t>avverkningsanmälan</t>
        </is>
      </c>
      <c r="C139" t="inlineStr">
        <is>
          <t>Avverkning för att bevara och utveckla /försöksver</t>
        </is>
      </c>
      <c r="D139" s="1" t="n">
        <v>45867</v>
      </c>
      <c r="E139" s="1" t="n">
        <v>46222</v>
      </c>
      <c r="F139" t="inlineStr">
        <is>
          <t>ÖSTERGÖTLANDS LÄN</t>
        </is>
      </c>
      <c r="G139" t="inlineStr">
        <is>
          <t>BOXHOLM</t>
        </is>
      </c>
      <c r="H139" t="inlineStr">
        <is>
          <t>Övriga Aktiebolag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36175-2025</t>
        </is>
      </c>
      <c r="B140" t="inlineStr">
        <is>
          <t>avverkningsanmälan</t>
        </is>
      </c>
      <c r="C140" t="inlineStr">
        <is>
          <t>Föryngringsavverkning</t>
        </is>
      </c>
      <c r="D140" s="1" t="n">
        <v>45867</v>
      </c>
      <c r="E140" s="1" t="n">
        <v>46222</v>
      </c>
      <c r="F140" t="inlineStr">
        <is>
          <t>ÖSTERGÖTLANDS LÄN</t>
        </is>
      </c>
      <c r="G140" t="inlineStr">
        <is>
          <t>BOXHOLM</t>
        </is>
      </c>
      <c r="H140" t="inlineStr">
        <is>
          <t>Övriga Aktiebolag</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61066-2021</t>
        </is>
      </c>
      <c r="B141" t="inlineStr">
        <is>
          <t>avverkningsanmälan</t>
        </is>
      </c>
      <c r="C141" t="inlineStr">
        <is>
          <t>Föryngringsavverkning</t>
        </is>
      </c>
      <c r="D141" s="1" t="n">
        <v>44497</v>
      </c>
      <c r="E141" s="1" t="n">
        <v>46222</v>
      </c>
      <c r="F141" t="inlineStr">
        <is>
          <t>ÖSTERGÖTLANDS LÄN</t>
        </is>
      </c>
      <c r="G141" t="inlineStr">
        <is>
          <t>BOXHOLM</t>
        </is>
      </c>
      <c r="I141" t="n">
        <v>6.9</v>
      </c>
      <c r="J141" t="n">
        <v>0</v>
      </c>
      <c r="K141" t="n">
        <v>0</v>
      </c>
      <c r="L141" t="n">
        <v>0</v>
      </c>
      <c r="M141" t="n">
        <v>0</v>
      </c>
      <c r="N141" t="n">
        <v>0</v>
      </c>
      <c r="O141" t="n">
        <v>0</v>
      </c>
      <c r="P141" t="n">
        <v>0</v>
      </c>
      <c r="Q141" t="n">
        <v>0</v>
      </c>
      <c r="R141" t="n">
        <v>0</v>
      </c>
      <c r="S141" t="n">
        <v>0</v>
      </c>
      <c r="T141" t="n">
        <v>0</v>
      </c>
      <c r="U141" s="2" t="inlineStr"/>
    </row>
    <row r="142" ht="15" customHeight="1">
      <c r="A142" t="inlineStr">
        <is>
          <t>A 36433-2025</t>
        </is>
      </c>
      <c r="B142" t="inlineStr">
        <is>
          <t>avverkningsanmälan</t>
        </is>
      </c>
      <c r="C142" t="inlineStr">
        <is>
          <t>Avverkning för att bevara och utveckla /försöksver</t>
        </is>
      </c>
      <c r="D142" s="1" t="n">
        <v>45869</v>
      </c>
      <c r="E142" s="1" t="n">
        <v>46222</v>
      </c>
      <c r="F142" t="inlineStr">
        <is>
          <t>ÖSTERGÖTLANDS LÄN</t>
        </is>
      </c>
      <c r="G142" t="inlineStr">
        <is>
          <t>BOXHOLM</t>
        </is>
      </c>
      <c r="H142" t="inlineStr">
        <is>
          <t>Övriga Aktiebolag</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35091-2023</t>
        </is>
      </c>
      <c r="B143" t="inlineStr">
        <is>
          <t>avverkningsanmälan</t>
        </is>
      </c>
      <c r="C143" t="inlineStr">
        <is>
          <t>Föryngringsavverkning</t>
        </is>
      </c>
      <c r="D143" s="1" t="n">
        <v>45145</v>
      </c>
      <c r="E143" s="1" t="n">
        <v>46222</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25279-2024</t>
        </is>
      </c>
      <c r="B144" t="inlineStr">
        <is>
          <t>avverkningsanmälan</t>
        </is>
      </c>
      <c r="C144" t="inlineStr">
        <is>
          <t>Avverkning för att bevara och utveckla /försöksver</t>
        </is>
      </c>
      <c r="D144" s="1" t="n">
        <v>45462</v>
      </c>
      <c r="E144" s="1" t="n">
        <v>46222</v>
      </c>
      <c r="F144" t="inlineStr">
        <is>
          <t>ÖSTERGÖTLANDS LÄN</t>
        </is>
      </c>
      <c r="G144" t="inlineStr">
        <is>
          <t>BOXHOLM</t>
        </is>
      </c>
      <c r="H144" t="inlineStr">
        <is>
          <t>Övriga Aktiebolag</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50164-2025</t>
        </is>
      </c>
      <c r="B145" t="inlineStr">
        <is>
          <t>avverkningsanmälan</t>
        </is>
      </c>
      <c r="C145" t="inlineStr">
        <is>
          <t>Föryngringsavverkning</t>
        </is>
      </c>
      <c r="D145" s="1" t="n">
        <v>45943</v>
      </c>
      <c r="E145" s="1" t="n">
        <v>46222</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50095-2025</t>
        </is>
      </c>
      <c r="B146" t="inlineStr">
        <is>
          <t>avverkningsanmälan</t>
        </is>
      </c>
      <c r="C146" t="inlineStr">
        <is>
          <t>Föryngringsavverkning</t>
        </is>
      </c>
      <c r="D146" s="1" t="n">
        <v>45943</v>
      </c>
      <c r="E146" s="1" t="n">
        <v>46222</v>
      </c>
      <c r="F146" t="inlineStr">
        <is>
          <t>ÖSTERGÖTLANDS LÄN</t>
        </is>
      </c>
      <c r="G146" t="inlineStr">
        <is>
          <t>BOXHOLM</t>
        </is>
      </c>
      <c r="H146" t="inlineStr">
        <is>
          <t>Övriga Aktiebolag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50019-2025</t>
        </is>
      </c>
      <c r="B147" t="inlineStr">
        <is>
          <t>avverkningsanmälan</t>
        </is>
      </c>
      <c r="C147" t="inlineStr">
        <is>
          <t>Föryngringsavverkning</t>
        </is>
      </c>
      <c r="D147" s="1" t="n">
        <v>45943</v>
      </c>
      <c r="E147" s="1" t="n">
        <v>46222</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35763-2025</t>
        </is>
      </c>
      <c r="B148" t="inlineStr">
        <is>
          <t>avverkningsanmälan</t>
        </is>
      </c>
      <c r="C148" t="inlineStr">
        <is>
          <t>Föryngringsavverkning</t>
        </is>
      </c>
      <c r="D148" s="1" t="n">
        <v>45860</v>
      </c>
      <c r="E148" s="1" t="n">
        <v>46222</v>
      </c>
      <c r="F148" t="inlineStr">
        <is>
          <t>ÖSTERGÖTLANDS LÄN</t>
        </is>
      </c>
      <c r="G148" t="inlineStr">
        <is>
          <t>BOXHOLM</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50082-2025</t>
        </is>
      </c>
      <c r="B149" t="inlineStr">
        <is>
          <t>avverkningsanmälan</t>
        </is>
      </c>
      <c r="C149" t="inlineStr">
        <is>
          <t>Avverkning för att bevara och utveckla /försöksver</t>
        </is>
      </c>
      <c r="D149" s="1" t="n">
        <v>45943</v>
      </c>
      <c r="E149" s="1" t="n">
        <v>46222</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35762-2025</t>
        </is>
      </c>
      <c r="B150" t="inlineStr">
        <is>
          <t>avverkningsanmälan</t>
        </is>
      </c>
      <c r="C150" t="inlineStr">
        <is>
          <t>Föryngringsavverkning</t>
        </is>
      </c>
      <c r="D150" s="1" t="n">
        <v>45860</v>
      </c>
      <c r="E150" s="1" t="n">
        <v>46222</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35764-2025</t>
        </is>
      </c>
      <c r="B151" t="inlineStr">
        <is>
          <t>avverkningsanmälan</t>
        </is>
      </c>
      <c r="C151" t="inlineStr">
        <is>
          <t>Föryngringsavverkning</t>
        </is>
      </c>
      <c r="D151" s="1" t="n">
        <v>45860</v>
      </c>
      <c r="E151" s="1" t="n">
        <v>46222</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50612-2025</t>
        </is>
      </c>
      <c r="B152" t="inlineStr">
        <is>
          <t>avverkningsanmälan</t>
        </is>
      </c>
      <c r="C152" t="inlineStr">
        <is>
          <t>Föryngringsavverkning</t>
        </is>
      </c>
      <c r="D152" s="1" t="n">
        <v>45945</v>
      </c>
      <c r="E152" s="1" t="n">
        <v>46222</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39029-2023</t>
        </is>
      </c>
      <c r="B153" t="inlineStr">
        <is>
          <t>avverkningsanmälan</t>
        </is>
      </c>
      <c r="C153" t="inlineStr">
        <is>
          <t>Föryngringsavverkning</t>
        </is>
      </c>
      <c r="D153" s="1" t="n">
        <v>45163</v>
      </c>
      <c r="E153" s="1" t="n">
        <v>46222</v>
      </c>
      <c r="F153" t="inlineStr">
        <is>
          <t>ÖSTERGÖTLANDS LÄN</t>
        </is>
      </c>
      <c r="G153" t="inlineStr">
        <is>
          <t>BOXHOLM</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51091-2025</t>
        </is>
      </c>
      <c r="B154" t="inlineStr">
        <is>
          <t>avverkningsanmälan</t>
        </is>
      </c>
      <c r="C154" t="inlineStr">
        <is>
          <t>Föryngringsavverkning</t>
        </is>
      </c>
      <c r="D154" s="1" t="n">
        <v>45947</v>
      </c>
      <c r="E154" s="1" t="n">
        <v>46222</v>
      </c>
      <c r="F154" t="inlineStr">
        <is>
          <t>ÖSTERGÖTLANDS LÄN</t>
        </is>
      </c>
      <c r="G154" t="inlineStr">
        <is>
          <t>BOXHOLM</t>
        </is>
      </c>
      <c r="H154" t="inlineStr">
        <is>
          <t>Övriga Aktiebolag</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39031-2023</t>
        </is>
      </c>
      <c r="B155" t="inlineStr">
        <is>
          <t>avverkningsanmälan</t>
        </is>
      </c>
      <c r="C155" t="inlineStr">
        <is>
          <t>Föryngringsavverkning</t>
        </is>
      </c>
      <c r="D155" s="1" t="n">
        <v>45163</v>
      </c>
      <c r="E155" s="1" t="n">
        <v>46222</v>
      </c>
      <c r="F155" t="inlineStr">
        <is>
          <t>ÖSTERGÖTLANDS LÄN</t>
        </is>
      </c>
      <c r="G155" t="inlineStr">
        <is>
          <t>BOXHOLM</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10250-2023</t>
        </is>
      </c>
      <c r="B156" t="inlineStr">
        <is>
          <t>avverkningsanmälan</t>
        </is>
      </c>
      <c r="C156" t="inlineStr">
        <is>
          <t>Föryngringsavverkning</t>
        </is>
      </c>
      <c r="D156" s="1" t="n">
        <v>44980</v>
      </c>
      <c r="E156" s="1" t="n">
        <v>46222</v>
      </c>
      <c r="F156" t="inlineStr">
        <is>
          <t>ÖSTERGÖTLANDS LÄN</t>
        </is>
      </c>
      <c r="G156" t="inlineStr">
        <is>
          <t>BOXHOLM</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52514-2025</t>
        </is>
      </c>
      <c r="B157" t="inlineStr">
        <is>
          <t>avverkningsanmälan</t>
        </is>
      </c>
      <c r="C157" t="inlineStr">
        <is>
          <t>Föryngringsavverkning</t>
        </is>
      </c>
      <c r="D157" s="1" t="n">
        <v>45954</v>
      </c>
      <c r="E157" s="1" t="n">
        <v>46222</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52551-2025</t>
        </is>
      </c>
      <c r="B158" t="inlineStr">
        <is>
          <t>avverkningsanmälan</t>
        </is>
      </c>
      <c r="C158" t="inlineStr">
        <is>
          <t>Avverkning för att bevara och utveckla /försöksver</t>
        </is>
      </c>
      <c r="D158" s="1" t="n">
        <v>45954</v>
      </c>
      <c r="E158" s="1" t="n">
        <v>46222</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22853-2023</t>
        </is>
      </c>
      <c r="B159" t="inlineStr">
        <is>
          <t>avverkningsanmälan</t>
        </is>
      </c>
      <c r="C159" t="inlineStr">
        <is>
          <t>Föryngringsavverkning</t>
        </is>
      </c>
      <c r="D159" s="1" t="n">
        <v>45072</v>
      </c>
      <c r="E159" s="1" t="n">
        <v>46222</v>
      </c>
      <c r="F159" t="inlineStr">
        <is>
          <t>ÖSTERGÖTLANDS LÄN</t>
        </is>
      </c>
      <c r="G159" t="inlineStr">
        <is>
          <t>BOXHOLM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8948-2026</t>
        </is>
      </c>
      <c r="B160" t="inlineStr">
        <is>
          <t>avverkningsanmälan</t>
        </is>
      </c>
      <c r="C160" t="inlineStr">
        <is>
          <t>Föryngringsavverkning</t>
        </is>
      </c>
      <c r="D160" s="1" t="n">
        <v>46069</v>
      </c>
      <c r="E160" s="1" t="n">
        <v>46222</v>
      </c>
      <c r="F160" t="inlineStr">
        <is>
          <t>ÖSTERGÖTLANDS LÄN</t>
        </is>
      </c>
      <c r="G160" t="inlineStr">
        <is>
          <t>BOXHOLM</t>
        </is>
      </c>
      <c r="H160" t="inlineStr">
        <is>
          <t>Övriga Aktiebolag</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37474-2025</t>
        </is>
      </c>
      <c r="B161" t="inlineStr">
        <is>
          <t>avverkningsanmälan</t>
        </is>
      </c>
      <c r="C161" t="inlineStr">
        <is>
          <t>Föryngringsavverkning</t>
        </is>
      </c>
      <c r="D161" s="1" t="n">
        <v>45877</v>
      </c>
      <c r="E161" s="1" t="n">
        <v>46222</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16146-2023</t>
        </is>
      </c>
      <c r="B162" t="inlineStr">
        <is>
          <t>avverkningsanmälan</t>
        </is>
      </c>
      <c r="C162" t="inlineStr">
        <is>
          <t>Föryngringsavverkning</t>
        </is>
      </c>
      <c r="D162" s="1" t="n">
        <v>45027</v>
      </c>
      <c r="E162" s="1" t="n">
        <v>46222</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37477-2025</t>
        </is>
      </c>
      <c r="B163" t="inlineStr">
        <is>
          <t>avverkningsanmälan</t>
        </is>
      </c>
      <c r="C163" t="inlineStr">
        <is>
          <t>Avverkning för att bevara och utveckla /försöksver</t>
        </is>
      </c>
      <c r="D163" s="1" t="n">
        <v>45877</v>
      </c>
      <c r="E163" s="1" t="n">
        <v>46222</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37551-2025</t>
        </is>
      </c>
      <c r="B164" t="inlineStr">
        <is>
          <t>avverkningsanmälan</t>
        </is>
      </c>
      <c r="C164" t="inlineStr">
        <is>
          <t>Föryngringsavverkning</t>
        </is>
      </c>
      <c r="D164" s="1" t="n">
        <v>45880</v>
      </c>
      <c r="E164" s="1" t="n">
        <v>46222</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15500-2023</t>
        </is>
      </c>
      <c r="B165" t="inlineStr">
        <is>
          <t>avverkningsanmälan</t>
        </is>
      </c>
      <c r="C165" t="inlineStr">
        <is>
          <t>Föryngringsavverkning</t>
        </is>
      </c>
      <c r="D165" s="1" t="n">
        <v>45020</v>
      </c>
      <c r="E165" s="1" t="n">
        <v>46222</v>
      </c>
      <c r="F165" t="inlineStr">
        <is>
          <t>ÖSTERGÖTLANDS LÄN</t>
        </is>
      </c>
      <c r="G165" t="inlineStr">
        <is>
          <t>BOXHOLM</t>
        </is>
      </c>
      <c r="I165" t="n">
        <v>0</v>
      </c>
      <c r="J165" t="n">
        <v>0</v>
      </c>
      <c r="K165" t="n">
        <v>0</v>
      </c>
      <c r="L165" t="n">
        <v>0</v>
      </c>
      <c r="M165" t="n">
        <v>0</v>
      </c>
      <c r="N165" t="n">
        <v>0</v>
      </c>
      <c r="O165" t="n">
        <v>0</v>
      </c>
      <c r="P165" t="n">
        <v>0</v>
      </c>
      <c r="Q165" t="n">
        <v>0</v>
      </c>
      <c r="R165" t="n">
        <v>0</v>
      </c>
      <c r="S165" t="n">
        <v>0</v>
      </c>
      <c r="T165" t="n">
        <v>0</v>
      </c>
      <c r="U165" s="2" t="inlineStr"/>
    </row>
    <row r="166" ht="15" customHeight="1">
      <c r="A166" t="inlineStr">
        <is>
          <t>A 9422-2026</t>
        </is>
      </c>
      <c r="B166" t="inlineStr">
        <is>
          <t>avverkningsanmälan</t>
        </is>
      </c>
      <c r="C166" t="inlineStr">
        <is>
          <t>Föryngringsavverkning</t>
        </is>
      </c>
      <c r="D166" s="1" t="n">
        <v>46071</v>
      </c>
      <c r="E166" s="1" t="n">
        <v>46222</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54540-2025</t>
        </is>
      </c>
      <c r="B167" t="inlineStr">
        <is>
          <t>avverkningsanmälan</t>
        </is>
      </c>
      <c r="C167" t="inlineStr">
        <is>
          <t>Föryngringsavverkning</t>
        </is>
      </c>
      <c r="D167" s="1" t="n">
        <v>45965</v>
      </c>
      <c r="E167" s="1" t="n">
        <v>46222</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54465-2025</t>
        </is>
      </c>
      <c r="B168" t="inlineStr">
        <is>
          <t>avverkningsanmälan</t>
        </is>
      </c>
      <c r="C168" t="inlineStr">
        <is>
          <t>Föryngringsavverkning</t>
        </is>
      </c>
      <c r="D168" s="1" t="n">
        <v>45965</v>
      </c>
      <c r="E168" s="1" t="n">
        <v>46222</v>
      </c>
      <c r="F168" t="inlineStr">
        <is>
          <t>ÖSTERGÖTLANDS LÄN</t>
        </is>
      </c>
      <c r="G168" t="inlineStr">
        <is>
          <t>BOXHOLM</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54521-2025</t>
        </is>
      </c>
      <c r="B169" t="inlineStr">
        <is>
          <t>avverkningsanmälan</t>
        </is>
      </c>
      <c r="C169" t="inlineStr">
        <is>
          <t>Föryngringsavverkning</t>
        </is>
      </c>
      <c r="D169" s="1" t="n">
        <v>45965</v>
      </c>
      <c r="E169" s="1" t="n">
        <v>46222</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54530-2025</t>
        </is>
      </c>
      <c r="B170" t="inlineStr">
        <is>
          <t>avverkningsanmälan</t>
        </is>
      </c>
      <c r="C170" t="inlineStr">
        <is>
          <t>Föryngringsavverkning</t>
        </is>
      </c>
      <c r="D170" s="1" t="n">
        <v>45965</v>
      </c>
      <c r="E170" s="1" t="n">
        <v>46222</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54547-2025</t>
        </is>
      </c>
      <c r="B171" t="inlineStr">
        <is>
          <t>avverkningsanmälan</t>
        </is>
      </c>
      <c r="C171" t="inlineStr">
        <is>
          <t>Föryngringsavverkning</t>
        </is>
      </c>
      <c r="D171" s="1" t="n">
        <v>45965</v>
      </c>
      <c r="E171" s="1" t="n">
        <v>46222</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3129-2025</t>
        </is>
      </c>
      <c r="B172" t="inlineStr">
        <is>
          <t>avverkningsanmälan</t>
        </is>
      </c>
      <c r="C172" t="inlineStr">
        <is>
          <t>Föryngringsavverkning</t>
        </is>
      </c>
      <c r="D172" s="1" t="n">
        <v>45678</v>
      </c>
      <c r="E172" s="1" t="n">
        <v>46222</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11304-2026</t>
        </is>
      </c>
      <c r="B173" t="inlineStr">
        <is>
          <t>avverkningsanmälan</t>
        </is>
      </c>
      <c r="C173" t="inlineStr">
        <is>
          <t>Föryngringsavverkning</t>
        </is>
      </c>
      <c r="D173" s="1" t="n">
        <v>46080</v>
      </c>
      <c r="E173" s="1" t="n">
        <v>46222</v>
      </c>
      <c r="F173" t="inlineStr">
        <is>
          <t>ÖSTERGÖTLANDS LÄN</t>
        </is>
      </c>
      <c r="G173" t="inlineStr">
        <is>
          <t>BOXHOLM</t>
        </is>
      </c>
      <c r="H173" t="inlineStr">
        <is>
          <t>Allmännings- och besparingsskogar</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2273-2025</t>
        </is>
      </c>
      <c r="B174" t="inlineStr">
        <is>
          <t>avverkningsanmälan</t>
        </is>
      </c>
      <c r="C174" t="inlineStr">
        <is>
          <t>Avverkning för annat ändamål</t>
        </is>
      </c>
      <c r="D174" s="1" t="n">
        <v>45673</v>
      </c>
      <c r="E174" s="1" t="n">
        <v>46222</v>
      </c>
      <c r="F174" t="inlineStr">
        <is>
          <t>ÖSTERGÖTLANDS LÄN</t>
        </is>
      </c>
      <c r="G174" t="inlineStr">
        <is>
          <t>BOXHOLM</t>
        </is>
      </c>
      <c r="H174" t="inlineStr">
        <is>
          <t>Övriga Aktiebolag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48322-2022</t>
        </is>
      </c>
      <c r="B175" t="inlineStr">
        <is>
          <t>avverkningsanmälan</t>
        </is>
      </c>
      <c r="C175" t="inlineStr">
        <is>
          <t>Föryngringsavverkning</t>
        </is>
      </c>
      <c r="D175" s="1" t="n">
        <v>44858</v>
      </c>
      <c r="E175" s="1" t="n">
        <v>46222</v>
      </c>
      <c r="F175" t="inlineStr">
        <is>
          <t>ÖSTERGÖTLANDS LÄN</t>
        </is>
      </c>
      <c r="G175" t="inlineStr">
        <is>
          <t>BOXHOLM</t>
        </is>
      </c>
      <c r="H175" t="inlineStr">
        <is>
          <t>Allmännings- och besparingsskogar</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57606-2025</t>
        </is>
      </c>
      <c r="B176" t="inlineStr">
        <is>
          <t>avverkningsanmälan</t>
        </is>
      </c>
      <c r="C176" t="inlineStr">
        <is>
          <t>Föryngringsavverkning</t>
        </is>
      </c>
      <c r="D176" s="1" t="n">
        <v>45981</v>
      </c>
      <c r="E176" s="1" t="n">
        <v>46222</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22856-2023</t>
        </is>
      </c>
      <c r="B177" t="inlineStr">
        <is>
          <t>avverkningsanmälan</t>
        </is>
      </c>
      <c r="C177" t="inlineStr">
        <is>
          <t>Föryngringsavverkning</t>
        </is>
      </c>
      <c r="D177" s="1" t="n">
        <v>45072</v>
      </c>
      <c r="E177" s="1" t="n">
        <v>46222</v>
      </c>
      <c r="F177" t="inlineStr">
        <is>
          <t>ÖSTERGÖTLANDS LÄN</t>
        </is>
      </c>
      <c r="G177" t="inlineStr">
        <is>
          <t>BOXHOLM</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21634-2023</t>
        </is>
      </c>
      <c r="B178" t="inlineStr">
        <is>
          <t>avverkningsanmälan</t>
        </is>
      </c>
      <c r="C178" t="inlineStr">
        <is>
          <t>Föryngringsavverkning</t>
        </is>
      </c>
      <c r="D178" s="1" t="n">
        <v>45062</v>
      </c>
      <c r="E178" s="1" t="n">
        <v>46222</v>
      </c>
      <c r="F178" t="inlineStr">
        <is>
          <t>ÖSTERGÖTLANDS LÄN</t>
        </is>
      </c>
      <c r="G178" t="inlineStr">
        <is>
          <t>BOXHOLM</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25230-2023</t>
        </is>
      </c>
      <c r="B179" t="inlineStr">
        <is>
          <t>avverkningsanmälan</t>
        </is>
      </c>
      <c r="C179" t="inlineStr">
        <is>
          <t>Föryngringsavverkning</t>
        </is>
      </c>
      <c r="D179" s="1" t="n">
        <v>45086</v>
      </c>
      <c r="E179" s="1" t="n">
        <v>46222</v>
      </c>
      <c r="F179" t="inlineStr">
        <is>
          <t>ÖSTERGÖTLANDS LÄN</t>
        </is>
      </c>
      <c r="G179" t="inlineStr">
        <is>
          <t>BOXHOLM</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58760-2025</t>
        </is>
      </c>
      <c r="B180" t="inlineStr">
        <is>
          <t>avverkningsanmälan</t>
        </is>
      </c>
      <c r="C180" t="inlineStr">
        <is>
          <t>Avverkning för att bevara och utveckla /försöksver</t>
        </is>
      </c>
      <c r="D180" s="1" t="n">
        <v>45986</v>
      </c>
      <c r="E180" s="1" t="n">
        <v>46222</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58763-2025</t>
        </is>
      </c>
      <c r="B181" t="inlineStr">
        <is>
          <t>avverkningsanmälan</t>
        </is>
      </c>
      <c r="C181" t="inlineStr">
        <is>
          <t>Avverkning för att bevara och utveckla /försöksver</t>
        </is>
      </c>
      <c r="D181" s="1" t="n">
        <v>45986</v>
      </c>
      <c r="E181" s="1" t="n">
        <v>46222</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59833-2025</t>
        </is>
      </c>
      <c r="B182" t="inlineStr">
        <is>
          <t>avverkningsanmälan</t>
        </is>
      </c>
      <c r="C182" t="inlineStr">
        <is>
          <t>Föryngringsavverkning</t>
        </is>
      </c>
      <c r="D182" s="1" t="n">
        <v>45992</v>
      </c>
      <c r="E182" s="1" t="n">
        <v>46222</v>
      </c>
      <c r="F182" t="inlineStr">
        <is>
          <t>ÖSTERGÖTLANDS LÄN</t>
        </is>
      </c>
      <c r="G182" t="inlineStr">
        <is>
          <t>BOXHOLM</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54934-2022</t>
        </is>
      </c>
      <c r="B183" t="inlineStr">
        <is>
          <t>avverkningsanmälan</t>
        </is>
      </c>
      <c r="C183" t="inlineStr">
        <is>
          <t>Föryngringsavverkning</t>
        </is>
      </c>
      <c r="D183" s="1" t="n">
        <v>44886</v>
      </c>
      <c r="E183" s="1" t="n">
        <v>46222</v>
      </c>
      <c r="F183" t="inlineStr">
        <is>
          <t>ÖSTERGÖTLANDS LÄN</t>
        </is>
      </c>
      <c r="G183" t="inlineStr">
        <is>
          <t>BOXHOLM</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59485-2025</t>
        </is>
      </c>
      <c r="B184" t="inlineStr">
        <is>
          <t>avverkningsanmälan</t>
        </is>
      </c>
      <c r="C184" t="inlineStr">
        <is>
          <t>Föryngringsavverkning</t>
        </is>
      </c>
      <c r="D184" s="1" t="n">
        <v>45989</v>
      </c>
      <c r="E184" s="1" t="n">
        <v>46222</v>
      </c>
      <c r="F184" t="inlineStr">
        <is>
          <t>ÖSTERGÖTLANDS LÄN</t>
        </is>
      </c>
      <c r="G184" t="inlineStr">
        <is>
          <t>BOXHOLM</t>
        </is>
      </c>
      <c r="H184" t="inlineStr">
        <is>
          <t>Övriga Aktiebolag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59490-2025</t>
        </is>
      </c>
      <c r="B185" t="inlineStr">
        <is>
          <t>avverkningsanmälan</t>
        </is>
      </c>
      <c r="C185" t="inlineStr">
        <is>
          <t>Föryngringsavverkning</t>
        </is>
      </c>
      <c r="D185" s="1" t="n">
        <v>45989</v>
      </c>
      <c r="E185" s="1" t="n">
        <v>46222</v>
      </c>
      <c r="F185" t="inlineStr">
        <is>
          <t>ÖSTERGÖTLANDS LÄN</t>
        </is>
      </c>
      <c r="G185" t="inlineStr">
        <is>
          <t>BOXHOLM</t>
        </is>
      </c>
      <c r="H185" t="inlineStr">
        <is>
          <t>Övriga Aktiebolag</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56125-2025</t>
        </is>
      </c>
      <c r="B186" t="inlineStr">
        <is>
          <t>avverkningsanmälan</t>
        </is>
      </c>
      <c r="C186" t="inlineStr">
        <is>
          <t>Föryngringsavverkning</t>
        </is>
      </c>
      <c r="D186" s="1" t="n">
        <v>45973</v>
      </c>
      <c r="E186" s="1" t="n">
        <v>46222</v>
      </c>
      <c r="F186" t="inlineStr">
        <is>
          <t>ÖSTERGÖTLANDS LÄN</t>
        </is>
      </c>
      <c r="G186" t="inlineStr">
        <is>
          <t>BOXHOLM</t>
        </is>
      </c>
      <c r="H186" t="inlineStr">
        <is>
          <t>Övriga Aktiebolag</t>
        </is>
      </c>
      <c r="I186" t="n">
        <v>7.1</v>
      </c>
      <c r="J186" t="n">
        <v>0</v>
      </c>
      <c r="K186" t="n">
        <v>0</v>
      </c>
      <c r="L186" t="n">
        <v>0</v>
      </c>
      <c r="M186" t="n">
        <v>0</v>
      </c>
      <c r="N186" t="n">
        <v>0</v>
      </c>
      <c r="O186" t="n">
        <v>0</v>
      </c>
      <c r="P186" t="n">
        <v>0</v>
      </c>
      <c r="Q186" t="n">
        <v>0</v>
      </c>
      <c r="R186" t="n">
        <v>0</v>
      </c>
      <c r="S186" t="n">
        <v>0</v>
      </c>
      <c r="T186" t="n">
        <v>0</v>
      </c>
      <c r="U186" s="2" t="inlineStr"/>
    </row>
    <row r="187" ht="15" customHeight="1">
      <c r="A187" t="inlineStr">
        <is>
          <t>A 31673-2023</t>
        </is>
      </c>
      <c r="B187" t="inlineStr">
        <is>
          <t>avverkningsanmälan</t>
        </is>
      </c>
      <c r="C187" t="inlineStr">
        <is>
          <t>Avverkning för att bevara och utveckla /försöksver</t>
        </is>
      </c>
      <c r="D187" s="1" t="n">
        <v>45117</v>
      </c>
      <c r="E187" s="1" t="n">
        <v>46222</v>
      </c>
      <c r="F187" t="inlineStr">
        <is>
          <t>ÖSTERGÖTLANDS LÄN</t>
        </is>
      </c>
      <c r="G187" t="inlineStr">
        <is>
          <t>BOXHOLM</t>
        </is>
      </c>
      <c r="H187" t="inlineStr">
        <is>
          <t>Övriga Aktiebolag</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60521-2025</t>
        </is>
      </c>
      <c r="B188" t="inlineStr">
        <is>
          <t>avverkningsanmälan</t>
        </is>
      </c>
      <c r="C188" t="inlineStr">
        <is>
          <t>Föryngringsavverkning</t>
        </is>
      </c>
      <c r="D188" s="1" t="n">
        <v>45995</v>
      </c>
      <c r="E188" s="1" t="n">
        <v>46222</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60638-2025</t>
        </is>
      </c>
      <c r="B189" t="inlineStr">
        <is>
          <t>avverkningsanmälan</t>
        </is>
      </c>
      <c r="C189" t="inlineStr">
        <is>
          <t>Avverkning för att bevara och utveckla /försöksver</t>
        </is>
      </c>
      <c r="D189" s="1" t="n">
        <v>45996</v>
      </c>
      <c r="E189" s="1" t="n">
        <v>46222</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15516-2025</t>
        </is>
      </c>
      <c r="B190" t="inlineStr">
        <is>
          <t>avverkningsanmälan</t>
        </is>
      </c>
      <c r="C190" t="inlineStr">
        <is>
          <t>Föryngringsavverkning</t>
        </is>
      </c>
      <c r="D190" s="1" t="n">
        <v>45747</v>
      </c>
      <c r="E190" s="1" t="n">
        <v>46222</v>
      </c>
      <c r="F190" t="inlineStr">
        <is>
          <t>ÖSTERGÖTLANDS LÄN</t>
        </is>
      </c>
      <c r="G190" t="inlineStr">
        <is>
          <t>BOXHOLM</t>
        </is>
      </c>
      <c r="H190" t="inlineStr">
        <is>
          <t>Övriga Aktiebolag</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55254-2022</t>
        </is>
      </c>
      <c r="B191" t="inlineStr">
        <is>
          <t>avverkningsanmälan</t>
        </is>
      </c>
      <c r="C191" t="inlineStr">
        <is>
          <t>Föryngringsavverkning</t>
        </is>
      </c>
      <c r="D191" s="1" t="n">
        <v>44887</v>
      </c>
      <c r="E191" s="1" t="n">
        <v>46222</v>
      </c>
      <c r="F191" t="inlineStr">
        <is>
          <t>ÖSTERGÖTLANDS LÄN</t>
        </is>
      </c>
      <c r="G191" t="inlineStr">
        <is>
          <t>BOXHOLM</t>
        </is>
      </c>
      <c r="H191" t="inlineStr">
        <is>
          <t>Övriga Aktiebolag</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61961-2025</t>
        </is>
      </c>
      <c r="B192" t="inlineStr">
        <is>
          <t>avverkningsanmälan</t>
        </is>
      </c>
      <c r="C192" t="inlineStr">
        <is>
          <t>Föryngringsavverkning</t>
        </is>
      </c>
      <c r="D192" s="1" t="n">
        <v>46003</v>
      </c>
      <c r="E192" s="1" t="n">
        <v>46222</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61966-2025</t>
        </is>
      </c>
      <c r="B193" t="inlineStr">
        <is>
          <t>avverkningsanmälan</t>
        </is>
      </c>
      <c r="C193" t="inlineStr">
        <is>
          <t>Föryngringsavverkning</t>
        </is>
      </c>
      <c r="D193" s="1" t="n">
        <v>46003</v>
      </c>
      <c r="E193" s="1" t="n">
        <v>46222</v>
      </c>
      <c r="F193" t="inlineStr">
        <is>
          <t>ÖSTERGÖTLANDS LÄN</t>
        </is>
      </c>
      <c r="G193" t="inlineStr">
        <is>
          <t>BOXHOLM</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62796-2025</t>
        </is>
      </c>
      <c r="B194" t="inlineStr">
        <is>
          <t>avverkningsanmälan</t>
        </is>
      </c>
      <c r="C194" t="inlineStr">
        <is>
          <t>Avverkning för att bevara och utveckla /försöksver</t>
        </is>
      </c>
      <c r="D194" s="1" t="n">
        <v>46008</v>
      </c>
      <c r="E194" s="1" t="n">
        <v>46222</v>
      </c>
      <c r="F194" t="inlineStr">
        <is>
          <t>ÖSTERGÖTLANDS LÄN</t>
        </is>
      </c>
      <c r="G194" t="inlineStr">
        <is>
          <t>BOXHOLM</t>
        </is>
      </c>
      <c r="H194" t="inlineStr">
        <is>
          <t>Övriga Aktiebolag</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6209-2024</t>
        </is>
      </c>
      <c r="B195" t="inlineStr">
        <is>
          <t>avverkningsanmälan</t>
        </is>
      </c>
      <c r="C195" t="inlineStr">
        <is>
          <t>Föryngringsavverkning</t>
        </is>
      </c>
      <c r="D195" s="1" t="n">
        <v>45337</v>
      </c>
      <c r="E195" s="1" t="n">
        <v>46222</v>
      </c>
      <c r="F195" t="inlineStr">
        <is>
          <t>ÖSTERGÖTLANDS LÄN</t>
        </is>
      </c>
      <c r="G195" t="inlineStr">
        <is>
          <t>BOXHOLM</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43471-2022</t>
        </is>
      </c>
      <c r="B196" t="inlineStr">
        <is>
          <t>avverkningsanmälan</t>
        </is>
      </c>
      <c r="C196" t="inlineStr">
        <is>
          <t>Föryngringsavverkning</t>
        </is>
      </c>
      <c r="D196" s="1" t="n">
        <v>44836</v>
      </c>
      <c r="E196" s="1" t="n">
        <v>46222</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62776-2025</t>
        </is>
      </c>
      <c r="B197" t="inlineStr">
        <is>
          <t>avverkningsanmälan</t>
        </is>
      </c>
      <c r="C197" t="inlineStr">
        <is>
          <t>Avverkning för att bevara och utveckla /försöksver</t>
        </is>
      </c>
      <c r="D197" s="1" t="n">
        <v>46008</v>
      </c>
      <c r="E197" s="1" t="n">
        <v>46222</v>
      </c>
      <c r="F197" t="inlineStr">
        <is>
          <t>ÖSTERGÖTLANDS LÄN</t>
        </is>
      </c>
      <c r="G197" t="inlineStr">
        <is>
          <t>BOXHOLM</t>
        </is>
      </c>
      <c r="H197" t="inlineStr">
        <is>
          <t>Övriga Aktiebolag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14789-2026</t>
        </is>
      </c>
      <c r="B198" t="inlineStr">
        <is>
          <t>avverkningsanmälan</t>
        </is>
      </c>
      <c r="C198" t="inlineStr">
        <is>
          <t>Avverkning för att bevara och utveckla /försöksver</t>
        </is>
      </c>
      <c r="D198" s="1" t="n">
        <v>46101</v>
      </c>
      <c r="E198" s="1" t="n">
        <v>46222</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59125-2022</t>
        </is>
      </c>
      <c r="B199" t="inlineStr">
        <is>
          <t>avverkningsanmälan</t>
        </is>
      </c>
      <c r="C199" t="inlineStr">
        <is>
          <t>Föryngringsavverkning</t>
        </is>
      </c>
      <c r="D199" s="1" t="n">
        <v>44904</v>
      </c>
      <c r="E199" s="1" t="n">
        <v>46222</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19601-2023</t>
        </is>
      </c>
      <c r="B200" t="inlineStr">
        <is>
          <t>avverkningsanmälan</t>
        </is>
      </c>
      <c r="C200" t="inlineStr">
        <is>
          <t>Föryngringsavverkning</t>
        </is>
      </c>
      <c r="D200" s="1" t="n">
        <v>45050</v>
      </c>
      <c r="E200" s="1" t="n">
        <v>46222</v>
      </c>
      <c r="F200" t="inlineStr">
        <is>
          <t>ÖSTERGÖTLANDS LÄN</t>
        </is>
      </c>
      <c r="G200" t="inlineStr">
        <is>
          <t>BOXHOLM</t>
        </is>
      </c>
      <c r="I200" t="n">
        <v>7.2</v>
      </c>
      <c r="J200" t="n">
        <v>0</v>
      </c>
      <c r="K200" t="n">
        <v>0</v>
      </c>
      <c r="L200" t="n">
        <v>0</v>
      </c>
      <c r="M200" t="n">
        <v>0</v>
      </c>
      <c r="N200" t="n">
        <v>0</v>
      </c>
      <c r="O200" t="n">
        <v>0</v>
      </c>
      <c r="P200" t="n">
        <v>0</v>
      </c>
      <c r="Q200" t="n">
        <v>0</v>
      </c>
      <c r="R200" t="n">
        <v>0</v>
      </c>
      <c r="S200" t="n">
        <v>0</v>
      </c>
      <c r="T200" t="n">
        <v>0</v>
      </c>
      <c r="U200" s="2" t="inlineStr"/>
    </row>
    <row r="201" ht="15" customHeight="1">
      <c r="A201" t="inlineStr">
        <is>
          <t>A 23857-2023</t>
        </is>
      </c>
      <c r="B201" t="inlineStr">
        <is>
          <t>avverkningsanmälan</t>
        </is>
      </c>
      <c r="C201" t="inlineStr">
        <is>
          <t>Föryngringsavverkning</t>
        </is>
      </c>
      <c r="D201" s="1" t="n">
        <v>45078</v>
      </c>
      <c r="E201" s="1" t="n">
        <v>46222</v>
      </c>
      <c r="F201" t="inlineStr">
        <is>
          <t>ÖSTERGÖTLANDS LÄN</t>
        </is>
      </c>
      <c r="G201" t="inlineStr">
        <is>
          <t>BOXHOLM</t>
        </is>
      </c>
      <c r="H201" t="inlineStr">
        <is>
          <t>Övriga Aktiebolag</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74111-2021</t>
        </is>
      </c>
      <c r="B202" t="inlineStr">
        <is>
          <t>avverkningsanmälan</t>
        </is>
      </c>
      <c r="C202" t="inlineStr">
        <is>
          <t>Föryngringsavverkning</t>
        </is>
      </c>
      <c r="D202" s="1" t="n">
        <v>44557</v>
      </c>
      <c r="E202" s="1" t="n">
        <v>46222</v>
      </c>
      <c r="F202" t="inlineStr">
        <is>
          <t>ÖSTERGÖTLANDS LÄN</t>
        </is>
      </c>
      <c r="G202" t="inlineStr">
        <is>
          <t>BOXHOLM</t>
        </is>
      </c>
      <c r="I202" t="n">
        <v>5.3</v>
      </c>
      <c r="J202" t="n">
        <v>0</v>
      </c>
      <c r="K202" t="n">
        <v>0</v>
      </c>
      <c r="L202" t="n">
        <v>0</v>
      </c>
      <c r="M202" t="n">
        <v>0</v>
      </c>
      <c r="N202" t="n">
        <v>0</v>
      </c>
      <c r="O202" t="n">
        <v>0</v>
      </c>
      <c r="P202" t="n">
        <v>0</v>
      </c>
      <c r="Q202" t="n">
        <v>0</v>
      </c>
      <c r="R202" t="n">
        <v>0</v>
      </c>
      <c r="S202" t="n">
        <v>0</v>
      </c>
      <c r="T202" t="n">
        <v>0</v>
      </c>
      <c r="U202" s="2" t="inlineStr"/>
    </row>
    <row r="203" ht="15" customHeight="1">
      <c r="A203" t="inlineStr">
        <is>
          <t>A 74128-2021</t>
        </is>
      </c>
      <c r="B203" t="inlineStr">
        <is>
          <t>avverkningsanmälan</t>
        </is>
      </c>
      <c r="C203" t="inlineStr">
        <is>
          <t>Föryngringsavverkning</t>
        </is>
      </c>
      <c r="D203" s="1" t="n">
        <v>44557</v>
      </c>
      <c r="E203" s="1" t="n">
        <v>46222</v>
      </c>
      <c r="F203" t="inlineStr">
        <is>
          <t>ÖSTERGÖTLANDS LÄN</t>
        </is>
      </c>
      <c r="G203" t="inlineStr">
        <is>
          <t>BOXHOLM</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49990-2021</t>
        </is>
      </c>
      <c r="B204" t="inlineStr">
        <is>
          <t>avverkningsanmälan</t>
        </is>
      </c>
      <c r="C204" t="inlineStr">
        <is>
          <t>Föryngringsavverkning</t>
        </is>
      </c>
      <c r="D204" s="1" t="n">
        <v>44456</v>
      </c>
      <c r="E204" s="1" t="n">
        <v>46222</v>
      </c>
      <c r="F204" t="inlineStr">
        <is>
          <t>ÖSTERGÖTLANDS LÄN</t>
        </is>
      </c>
      <c r="G204" t="inlineStr">
        <is>
          <t>BOXHOLM</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25254-2023</t>
        </is>
      </c>
      <c r="B205" t="inlineStr">
        <is>
          <t>avverkningsanmälan</t>
        </is>
      </c>
      <c r="C205" t="inlineStr">
        <is>
          <t>Föryngringsavverkning</t>
        </is>
      </c>
      <c r="D205" s="1" t="n">
        <v>45086</v>
      </c>
      <c r="E205" s="1" t="n">
        <v>46222</v>
      </c>
      <c r="F205" t="inlineStr">
        <is>
          <t>ÖSTERGÖTLANDS LÄN</t>
        </is>
      </c>
      <c r="G205" t="inlineStr">
        <is>
          <t>BOXHOLM</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1090-2026</t>
        </is>
      </c>
      <c r="B206" t="inlineStr">
        <is>
          <t>avverkningsanmälan</t>
        </is>
      </c>
      <c r="C206" t="inlineStr">
        <is>
          <t>Föryngringsavverkning</t>
        </is>
      </c>
      <c r="D206" s="1" t="n">
        <v>46030</v>
      </c>
      <c r="E206" s="1" t="n">
        <v>46222</v>
      </c>
      <c r="F206" t="inlineStr">
        <is>
          <t>ÖSTERGÖTLANDS LÄN</t>
        </is>
      </c>
      <c r="G206" t="inlineStr">
        <is>
          <t>BOXHOLM</t>
        </is>
      </c>
      <c r="H206" t="inlineStr">
        <is>
          <t>Allmännings- och besparingsskogar</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65333-2021</t>
        </is>
      </c>
      <c r="B207" t="inlineStr">
        <is>
          <t>avverkningsanmälan</t>
        </is>
      </c>
      <c r="C207" t="inlineStr">
        <is>
          <t>Föryngringsavverkning</t>
        </is>
      </c>
      <c r="D207" s="1" t="n">
        <v>44515</v>
      </c>
      <c r="E207" s="1" t="n">
        <v>46222</v>
      </c>
      <c r="F207" t="inlineStr">
        <is>
          <t>ÖSTERGÖTLANDS LÄN</t>
        </is>
      </c>
      <c r="G207" t="inlineStr">
        <is>
          <t>BOXHOLM</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15504-2023</t>
        </is>
      </c>
      <c r="B208" t="inlineStr">
        <is>
          <t>avverkningsanmälan</t>
        </is>
      </c>
      <c r="C208" t="inlineStr">
        <is>
          <t>Föryngringsavverkning</t>
        </is>
      </c>
      <c r="D208" s="1" t="n">
        <v>45020</v>
      </c>
      <c r="E208" s="1" t="n">
        <v>46222</v>
      </c>
      <c r="F208" t="inlineStr">
        <is>
          <t>ÖSTERGÖTLANDS LÄN</t>
        </is>
      </c>
      <c r="G208" t="inlineStr">
        <is>
          <t>BOXHOLM</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53342-2024</t>
        </is>
      </c>
      <c r="B209" t="inlineStr">
        <is>
          <t>avverkningsanmälan</t>
        </is>
      </c>
      <c r="C209" t="inlineStr">
        <is>
          <t>Föryngringsavverkning</t>
        </is>
      </c>
      <c r="D209" s="1" t="n">
        <v>45614</v>
      </c>
      <c r="E209" s="1" t="n">
        <v>46222</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17872-2025</t>
        </is>
      </c>
      <c r="B210" t="inlineStr">
        <is>
          <t>avverkningsanmälan</t>
        </is>
      </c>
      <c r="C210" t="inlineStr">
        <is>
          <t>Avverkning för att bevara och utveckla /försöksver</t>
        </is>
      </c>
      <c r="D210" s="1" t="n">
        <v>45758</v>
      </c>
      <c r="E210" s="1" t="n">
        <v>46222</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2203-2026</t>
        </is>
      </c>
      <c r="B211" t="inlineStr">
        <is>
          <t>avverkningsanmälan</t>
        </is>
      </c>
      <c r="C211" t="inlineStr">
        <is>
          <t>Föryngringsavverkning</t>
        </is>
      </c>
      <c r="D211" s="1" t="n">
        <v>46036</v>
      </c>
      <c r="E211" s="1" t="n">
        <v>46222</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9115-2023</t>
        </is>
      </c>
      <c r="B212" t="inlineStr">
        <is>
          <t>avverkningsanmälan</t>
        </is>
      </c>
      <c r="C212" t="inlineStr">
        <is>
          <t>Föryngringsavverkning</t>
        </is>
      </c>
      <c r="D212" s="1" t="n">
        <v>44980</v>
      </c>
      <c r="E212" s="1" t="n">
        <v>46222</v>
      </c>
      <c r="F212" t="inlineStr">
        <is>
          <t>ÖSTERGÖTLANDS LÄN</t>
        </is>
      </c>
      <c r="G212" t="inlineStr">
        <is>
          <t>BOXHOLM</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47333-2024</t>
        </is>
      </c>
      <c r="B213" t="inlineStr">
        <is>
          <t>avverkningsanmälan</t>
        </is>
      </c>
      <c r="C213" t="inlineStr">
        <is>
          <t>Föryngringsavverkning</t>
        </is>
      </c>
      <c r="D213" s="1" t="n">
        <v>45587</v>
      </c>
      <c r="E213" s="1" t="n">
        <v>46222</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60867-2022</t>
        </is>
      </c>
      <c r="B214" t="inlineStr">
        <is>
          <t>avverkningsanmälan</t>
        </is>
      </c>
      <c r="C214" t="inlineStr">
        <is>
          <t>Avverkning för annat ändamål</t>
        </is>
      </c>
      <c r="D214" s="1" t="n">
        <v>44914</v>
      </c>
      <c r="E214" s="1" t="n">
        <v>46222</v>
      </c>
      <c r="F214" t="inlineStr">
        <is>
          <t>ÖSTERGÖTLANDS LÄN</t>
        </is>
      </c>
      <c r="G214" t="inlineStr">
        <is>
          <t>BOXHOLM</t>
        </is>
      </c>
      <c r="H214" t="inlineStr">
        <is>
          <t>Övriga Aktiebolag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35345-2023</t>
        </is>
      </c>
      <c r="B215" t="inlineStr">
        <is>
          <t>avverkningsanmälan</t>
        </is>
      </c>
      <c r="C215" t="inlineStr">
        <is>
          <t>Föryngringsavverkning</t>
        </is>
      </c>
      <c r="D215" s="1" t="n">
        <v>45146</v>
      </c>
      <c r="E215" s="1" t="n">
        <v>46222</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36453-2024</t>
        </is>
      </c>
      <c r="B216" t="inlineStr">
        <is>
          <t>avverkningsanmälan</t>
        </is>
      </c>
      <c r="C216" t="inlineStr">
        <is>
          <t>Avverkning för att bevara och utveckla /försöksver</t>
        </is>
      </c>
      <c r="D216" s="1" t="n">
        <v>45537</v>
      </c>
      <c r="E216" s="1" t="n">
        <v>46222</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37400-2023</t>
        </is>
      </c>
      <c r="B217" t="inlineStr">
        <is>
          <t>avverkningsanmälan</t>
        </is>
      </c>
      <c r="C217" t="inlineStr">
        <is>
          <t>Föryngringsavverkning</t>
        </is>
      </c>
      <c r="D217" s="1" t="n">
        <v>45156</v>
      </c>
      <c r="E217" s="1" t="n">
        <v>46222</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8843-2025</t>
        </is>
      </c>
      <c r="B218" t="inlineStr">
        <is>
          <t>avverkningsanmälan</t>
        </is>
      </c>
      <c r="C218" t="inlineStr">
        <is>
          <t>Avverkning för att bevara och utveckla /försöksver</t>
        </is>
      </c>
      <c r="D218" s="1" t="n">
        <v>45713</v>
      </c>
      <c r="E218" s="1" t="n">
        <v>46222</v>
      </c>
      <c r="F218" t="inlineStr">
        <is>
          <t>ÖSTERGÖTLANDS LÄN</t>
        </is>
      </c>
      <c r="G218" t="inlineStr">
        <is>
          <t>BOXHOLM</t>
        </is>
      </c>
      <c r="H218" t="inlineStr">
        <is>
          <t>Övriga Aktiebolag</t>
        </is>
      </c>
      <c r="I218" t="n">
        <v>0</v>
      </c>
      <c r="J218" t="n">
        <v>0</v>
      </c>
      <c r="K218" t="n">
        <v>0</v>
      </c>
      <c r="L218" t="n">
        <v>0</v>
      </c>
      <c r="M218" t="n">
        <v>0</v>
      </c>
      <c r="N218" t="n">
        <v>0</v>
      </c>
      <c r="O218" t="n">
        <v>0</v>
      </c>
      <c r="P218" t="n">
        <v>0</v>
      </c>
      <c r="Q218" t="n">
        <v>0</v>
      </c>
      <c r="R218" t="n">
        <v>0</v>
      </c>
      <c r="S218" t="n">
        <v>0</v>
      </c>
      <c r="T218" t="n">
        <v>0</v>
      </c>
      <c r="U218" s="2" t="inlineStr"/>
    </row>
    <row r="219" ht="15" customHeight="1">
      <c r="A219" t="inlineStr">
        <is>
          <t>A 15498-2023</t>
        </is>
      </c>
      <c r="B219" t="inlineStr">
        <is>
          <t>avverkningsanmälan</t>
        </is>
      </c>
      <c r="C219" t="inlineStr">
        <is>
          <t>Föryngringsavverkning</t>
        </is>
      </c>
      <c r="D219" s="1" t="n">
        <v>45020</v>
      </c>
      <c r="E219" s="1" t="n">
        <v>46222</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15501-2023</t>
        </is>
      </c>
      <c r="B220" t="inlineStr">
        <is>
          <t>avverkningsanmälan</t>
        </is>
      </c>
      <c r="C220" t="inlineStr">
        <is>
          <t>Föryngringsavverkning</t>
        </is>
      </c>
      <c r="D220" s="1" t="n">
        <v>45020</v>
      </c>
      <c r="E220" s="1" t="n">
        <v>46222</v>
      </c>
      <c r="F220" t="inlineStr">
        <is>
          <t>ÖSTERGÖTLANDS LÄN</t>
        </is>
      </c>
      <c r="G220" t="inlineStr">
        <is>
          <t>BOXHOLM</t>
        </is>
      </c>
      <c r="I220" t="n">
        <v>0</v>
      </c>
      <c r="J220" t="n">
        <v>0</v>
      </c>
      <c r="K220" t="n">
        <v>0</v>
      </c>
      <c r="L220" t="n">
        <v>0</v>
      </c>
      <c r="M220" t="n">
        <v>0</v>
      </c>
      <c r="N220" t="n">
        <v>0</v>
      </c>
      <c r="O220" t="n">
        <v>0</v>
      </c>
      <c r="P220" t="n">
        <v>0</v>
      </c>
      <c r="Q220" t="n">
        <v>0</v>
      </c>
      <c r="R220" t="n">
        <v>0</v>
      </c>
      <c r="S220" t="n">
        <v>0</v>
      </c>
      <c r="T220" t="n">
        <v>0</v>
      </c>
      <c r="U220" s="2" t="inlineStr"/>
    </row>
    <row r="221" ht="15" customHeight="1">
      <c r="A221" t="inlineStr">
        <is>
          <t>A 15505-2023</t>
        </is>
      </c>
      <c r="B221" t="inlineStr">
        <is>
          <t>avverkningsanmälan</t>
        </is>
      </c>
      <c r="C221" t="inlineStr">
        <is>
          <t>Föryngringsavverkning</t>
        </is>
      </c>
      <c r="D221" s="1" t="n">
        <v>45020</v>
      </c>
      <c r="E221" s="1" t="n">
        <v>46222</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36491-2023</t>
        </is>
      </c>
      <c r="B222" t="inlineStr">
        <is>
          <t>avverkningsanmälan</t>
        </is>
      </c>
      <c r="C222" t="inlineStr">
        <is>
          <t>Föryngringsavverkning</t>
        </is>
      </c>
      <c r="D222" s="1" t="n">
        <v>45152</v>
      </c>
      <c r="E222" s="1" t="n">
        <v>46222</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s="2" t="inlineStr"/>
    </row>
    <row r="223" ht="15" customHeight="1">
      <c r="A223" t="inlineStr">
        <is>
          <t>A 48475-2024</t>
        </is>
      </c>
      <c r="B223" t="inlineStr">
        <is>
          <t>avverkningsanmälan</t>
        </is>
      </c>
      <c r="C223" t="inlineStr">
        <is>
          <t>Föryngringsavverkning</t>
        </is>
      </c>
      <c r="D223" s="1" t="n">
        <v>45591</v>
      </c>
      <c r="E223" s="1" t="n">
        <v>46222</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35432-2023</t>
        </is>
      </c>
      <c r="B224" t="inlineStr">
        <is>
          <t>avverkningsanmälan</t>
        </is>
      </c>
      <c r="C224" t="inlineStr">
        <is>
          <t>Föryngringsavverkning</t>
        </is>
      </c>
      <c r="D224" s="1" t="n">
        <v>45146</v>
      </c>
      <c r="E224" s="1" t="n">
        <v>46222</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51359-2024</t>
        </is>
      </c>
      <c r="B225" t="inlineStr">
        <is>
          <t>avverkningsanmälan</t>
        </is>
      </c>
      <c r="C225" t="inlineStr">
        <is>
          <t>Föryngringsavverkning</t>
        </is>
      </c>
      <c r="D225" s="1" t="n">
        <v>45604</v>
      </c>
      <c r="E225" s="1" t="n">
        <v>46222</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7061-2024</t>
        </is>
      </c>
      <c r="B226" t="inlineStr">
        <is>
          <t>avverkningsanmälan</t>
        </is>
      </c>
      <c r="C226" t="inlineStr">
        <is>
          <t>Föryngringsavverkning</t>
        </is>
      </c>
      <c r="D226" s="1" t="n">
        <v>45343</v>
      </c>
      <c r="E226" s="1" t="n">
        <v>46222</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49119-2025</t>
        </is>
      </c>
      <c r="B227" t="inlineStr">
        <is>
          <t>avverkningsanmälan</t>
        </is>
      </c>
      <c r="C227" t="inlineStr">
        <is>
          <t>Föryngringsavverkning</t>
        </is>
      </c>
      <c r="D227" s="1" t="n">
        <v>45937</v>
      </c>
      <c r="E227" s="1" t="n">
        <v>46222</v>
      </c>
      <c r="F227" t="inlineStr">
        <is>
          <t>ÖSTERGÖTLANDS LÄN</t>
        </is>
      </c>
      <c r="G227" t="inlineStr">
        <is>
          <t>BOXHOLM</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23834-2023</t>
        </is>
      </c>
      <c r="B228" t="inlineStr">
        <is>
          <t>avverkningsanmälan</t>
        </is>
      </c>
      <c r="C228" t="inlineStr">
        <is>
          <t>Föryngringsavverkning</t>
        </is>
      </c>
      <c r="D228" s="1" t="n">
        <v>45078</v>
      </c>
      <c r="E228" s="1" t="n">
        <v>46222</v>
      </c>
      <c r="F228" t="inlineStr">
        <is>
          <t>ÖSTERGÖTLANDS LÄN</t>
        </is>
      </c>
      <c r="G228" t="inlineStr">
        <is>
          <t>BOXHOLM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37578-2022</t>
        </is>
      </c>
      <c r="B229" t="inlineStr">
        <is>
          <t>avverkningsanmälan</t>
        </is>
      </c>
      <c r="C229" t="inlineStr">
        <is>
          <t>Föryngringsavverkning</t>
        </is>
      </c>
      <c r="D229" s="1" t="n">
        <v>44809</v>
      </c>
      <c r="E229" s="1" t="n">
        <v>46222</v>
      </c>
      <c r="F229" t="inlineStr">
        <is>
          <t>ÖSTERGÖTLANDS LÄN</t>
        </is>
      </c>
      <c r="G229" t="inlineStr">
        <is>
          <t>BOXHOLM</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46237-2024</t>
        </is>
      </c>
      <c r="B230" t="inlineStr">
        <is>
          <t>avverkningsanmälan</t>
        </is>
      </c>
      <c r="C230" t="inlineStr">
        <is>
          <t>Föryngringsavverkning</t>
        </is>
      </c>
      <c r="D230" s="1" t="n">
        <v>45581</v>
      </c>
      <c r="E230" s="1" t="n">
        <v>46222</v>
      </c>
      <c r="F230" t="inlineStr">
        <is>
          <t>ÖSTERGÖTLANDS LÄN</t>
        </is>
      </c>
      <c r="G230" t="inlineStr">
        <is>
          <t>BOXHOLM</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44896-2023</t>
        </is>
      </c>
      <c r="B231" t="inlineStr">
        <is>
          <t>avverkningsanmälan</t>
        </is>
      </c>
      <c r="C231" t="inlineStr">
        <is>
          <t>Föryngringsavverkning</t>
        </is>
      </c>
      <c r="D231" s="1" t="n">
        <v>45190</v>
      </c>
      <c r="E231" s="1" t="n">
        <v>46222</v>
      </c>
      <c r="F231" t="inlineStr">
        <is>
          <t>ÖSTERGÖTLANDS LÄN</t>
        </is>
      </c>
      <c r="G231" t="inlineStr">
        <is>
          <t>BOXHOLM</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36331-2022</t>
        </is>
      </c>
      <c r="B232" t="inlineStr">
        <is>
          <t>avverkningsanmälan</t>
        </is>
      </c>
      <c r="C232" t="inlineStr">
        <is>
          <t>Föryngringsavverkning</t>
        </is>
      </c>
      <c r="D232" s="1" t="n">
        <v>44803</v>
      </c>
      <c r="E232" s="1" t="n">
        <v>46222</v>
      </c>
      <c r="F232" t="inlineStr">
        <is>
          <t>ÖSTERGÖTLANDS LÄN</t>
        </is>
      </c>
      <c r="G232" t="inlineStr">
        <is>
          <t>BOXHOLM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39035-2023</t>
        </is>
      </c>
      <c r="B233" t="inlineStr">
        <is>
          <t>avverkningsanmälan</t>
        </is>
      </c>
      <c r="C233" t="inlineStr">
        <is>
          <t>Föryngringsavverkning</t>
        </is>
      </c>
      <c r="D233" s="1" t="n">
        <v>45163</v>
      </c>
      <c r="E233" s="1" t="n">
        <v>46222</v>
      </c>
      <c r="F233" t="inlineStr">
        <is>
          <t>ÖSTERGÖTLANDS LÄN</t>
        </is>
      </c>
      <c r="G233" t="inlineStr">
        <is>
          <t>BOXHOLM</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21436-2025</t>
        </is>
      </c>
      <c r="B234" t="inlineStr">
        <is>
          <t>avverkningsanmälan</t>
        </is>
      </c>
      <c r="C234" t="inlineStr">
        <is>
          <t>Föryngringsavverkning</t>
        </is>
      </c>
      <c r="D234" s="1" t="n">
        <v>45782</v>
      </c>
      <c r="E234" s="1" t="n">
        <v>46222</v>
      </c>
      <c r="F234" t="inlineStr">
        <is>
          <t>ÖSTERGÖTLANDS LÄN</t>
        </is>
      </c>
      <c r="G234" t="inlineStr">
        <is>
          <t>BOXHOLM</t>
        </is>
      </c>
      <c r="I234" t="n">
        <v>4.1</v>
      </c>
      <c r="J234" t="n">
        <v>0</v>
      </c>
      <c r="K234" t="n">
        <v>0</v>
      </c>
      <c r="L234" t="n">
        <v>0</v>
      </c>
      <c r="M234" t="n">
        <v>0</v>
      </c>
      <c r="N234" t="n">
        <v>0</v>
      </c>
      <c r="O234" t="n">
        <v>0</v>
      </c>
      <c r="P234" t="n">
        <v>0</v>
      </c>
      <c r="Q234" t="n">
        <v>0</v>
      </c>
      <c r="R234" t="n">
        <v>0</v>
      </c>
      <c r="S234" t="n">
        <v>0</v>
      </c>
      <c r="T234" t="n">
        <v>0</v>
      </c>
      <c r="U234" s="2" t="inlineStr"/>
    </row>
    <row r="235" ht="15" customHeight="1">
      <c r="A235" t="inlineStr">
        <is>
          <t>A 14946-2022</t>
        </is>
      </c>
      <c r="B235" t="inlineStr">
        <is>
          <t>avverkningsanmälan</t>
        </is>
      </c>
      <c r="C235" t="inlineStr">
        <is>
          <t>Föryngringsavverkning</t>
        </is>
      </c>
      <c r="D235" s="1" t="n">
        <v>44657</v>
      </c>
      <c r="E235" s="1" t="n">
        <v>46222</v>
      </c>
      <c r="F235" t="inlineStr">
        <is>
          <t>ÖSTERGÖTLANDS LÄN</t>
        </is>
      </c>
      <c r="G235" t="inlineStr">
        <is>
          <t>BOXHOLM</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19129-2025</t>
        </is>
      </c>
      <c r="B236" t="inlineStr">
        <is>
          <t>avverkningsanmälan</t>
        </is>
      </c>
      <c r="C236" t="inlineStr">
        <is>
          <t>Föryngringsavverkning</t>
        </is>
      </c>
      <c r="D236" s="1" t="n">
        <v>45769</v>
      </c>
      <c r="E236" s="1" t="n">
        <v>46222</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50026-2025</t>
        </is>
      </c>
      <c r="B237" t="inlineStr">
        <is>
          <t>avverkningsanmälan</t>
        </is>
      </c>
      <c r="C237" t="inlineStr">
        <is>
          <t>Avverkning för att bevara och utveckla /försöksver</t>
        </is>
      </c>
      <c r="D237" s="1" t="n">
        <v>45943</v>
      </c>
      <c r="E237" s="1" t="n">
        <v>46222</v>
      </c>
      <c r="F237" t="inlineStr">
        <is>
          <t>ÖSTERGÖTLANDS LÄN</t>
        </is>
      </c>
      <c r="G237" t="inlineStr">
        <is>
          <t>BOXHOLM</t>
        </is>
      </c>
      <c r="H237" t="inlineStr">
        <is>
          <t>Övriga Aktiebolag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34839-2023</t>
        </is>
      </c>
      <c r="B238" t="inlineStr">
        <is>
          <t>avverkningsanmälan</t>
        </is>
      </c>
      <c r="C238" t="inlineStr">
        <is>
          <t>Föryngringsavverkning</t>
        </is>
      </c>
      <c r="D238" s="1" t="n">
        <v>45141</v>
      </c>
      <c r="E238" s="1" t="n">
        <v>46222</v>
      </c>
      <c r="F238" t="inlineStr">
        <is>
          <t>ÖSTERGÖTLANDS LÄN</t>
        </is>
      </c>
      <c r="G238" t="inlineStr">
        <is>
          <t>BOXHOLM</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40308-2022</t>
        </is>
      </c>
      <c r="B239" t="inlineStr">
        <is>
          <t>avverkningsanmälan</t>
        </is>
      </c>
      <c r="C239" t="inlineStr">
        <is>
          <t>Föryngringsavverkning</t>
        </is>
      </c>
      <c r="D239" s="1" t="n">
        <v>44822</v>
      </c>
      <c r="E239" s="1" t="n">
        <v>46222</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58738-2025</t>
        </is>
      </c>
      <c r="B240" t="inlineStr">
        <is>
          <t>avverkningsanmälan</t>
        </is>
      </c>
      <c r="C240" t="inlineStr">
        <is>
          <t>Föryngringsavverkning</t>
        </is>
      </c>
      <c r="D240" s="1" t="n">
        <v>45986</v>
      </c>
      <c r="E240" s="1" t="n">
        <v>46222</v>
      </c>
      <c r="F240" t="inlineStr">
        <is>
          <t>ÖSTERGÖTLANDS LÄN</t>
        </is>
      </c>
      <c r="G240" t="inlineStr">
        <is>
          <t>BOXHOLM</t>
        </is>
      </c>
      <c r="H240" t="inlineStr">
        <is>
          <t>Allmännings- och besparingsskogar</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957-2024</t>
        </is>
      </c>
      <c r="B241" t="inlineStr">
        <is>
          <t>avverkningsanmälan</t>
        </is>
      </c>
      <c r="C241" t="inlineStr">
        <is>
          <t>Föryngringsavverkning</t>
        </is>
      </c>
      <c r="D241" s="1" t="n">
        <v>45301</v>
      </c>
      <c r="E241" s="1" t="n">
        <v>46222</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6239-2025</t>
        </is>
      </c>
      <c r="B242" t="inlineStr">
        <is>
          <t>avverkningsanmälan</t>
        </is>
      </c>
      <c r="C242" t="inlineStr">
        <is>
          <t>Föryngringsavverkning</t>
        </is>
      </c>
      <c r="D242" s="1" t="n">
        <v>45698</v>
      </c>
      <c r="E242" s="1" t="n">
        <v>46222</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s="2" t="inlineStr"/>
    </row>
    <row r="243" ht="15" customHeight="1">
      <c r="A243" t="inlineStr">
        <is>
          <t>A 37405-2023</t>
        </is>
      </c>
      <c r="B243" t="inlineStr">
        <is>
          <t>avverkningsanmälan</t>
        </is>
      </c>
      <c r="C243" t="inlineStr">
        <is>
          <t>Föryngringsavverkning</t>
        </is>
      </c>
      <c r="D243" s="1" t="n">
        <v>45156</v>
      </c>
      <c r="E243" s="1" t="n">
        <v>46222</v>
      </c>
      <c r="F243" t="inlineStr">
        <is>
          <t>ÖSTERGÖTLANDS LÄN</t>
        </is>
      </c>
      <c r="G243" t="inlineStr">
        <is>
          <t>BOXHOLM</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24859-2022</t>
        </is>
      </c>
      <c r="B244" t="inlineStr">
        <is>
          <t>avverkningsanmälan</t>
        </is>
      </c>
      <c r="C244" t="inlineStr">
        <is>
          <t>Föryngringsavverkning</t>
        </is>
      </c>
      <c r="D244" s="1" t="n">
        <v>44728</v>
      </c>
      <c r="E244" s="1" t="n">
        <v>46222</v>
      </c>
      <c r="F244" t="inlineStr">
        <is>
          <t>ÖSTERGÖTLANDS LÄN</t>
        </is>
      </c>
      <c r="G244" t="inlineStr">
        <is>
          <t>BOXHOLM</t>
        </is>
      </c>
      <c r="H244" t="inlineStr">
        <is>
          <t>Övriga Aktiebolag</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13993-2022</t>
        </is>
      </c>
      <c r="B245" t="inlineStr">
        <is>
          <t>avverkningsanmälan</t>
        </is>
      </c>
      <c r="C245" t="inlineStr">
        <is>
          <t>Föryngringsavverkning</t>
        </is>
      </c>
      <c r="D245" s="1" t="n">
        <v>44650</v>
      </c>
      <c r="E245" s="1" t="n">
        <v>46222</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24508-2024</t>
        </is>
      </c>
      <c r="B246" t="inlineStr">
        <is>
          <t>avverkningsanmälan</t>
        </is>
      </c>
      <c r="C246" t="inlineStr">
        <is>
          <t>Föryngringsavverkning</t>
        </is>
      </c>
      <c r="D246" s="1" t="n">
        <v>45460</v>
      </c>
      <c r="E246" s="1" t="n">
        <v>46222</v>
      </c>
      <c r="F246" t="inlineStr">
        <is>
          <t>ÖSTERGÖTLANDS LÄN</t>
        </is>
      </c>
      <c r="G246" t="inlineStr">
        <is>
          <t>BOXHOLM</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43824-2023</t>
        </is>
      </c>
      <c r="B247" t="inlineStr">
        <is>
          <t>avverkningsanmälan</t>
        </is>
      </c>
      <c r="C247" t="inlineStr">
        <is>
          <t>Föryngringsavverkning</t>
        </is>
      </c>
      <c r="D247" s="1" t="n">
        <v>45187</v>
      </c>
      <c r="E247" s="1" t="n">
        <v>46222</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21151-2023</t>
        </is>
      </c>
      <c r="B248" t="inlineStr">
        <is>
          <t>avverkningsanmälan</t>
        </is>
      </c>
      <c r="C248" t="inlineStr">
        <is>
          <t>Föryngringsavverkning</t>
        </is>
      </c>
      <c r="D248" s="1" t="n">
        <v>45062</v>
      </c>
      <c r="E248" s="1" t="n">
        <v>46222</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51708-2023</t>
        </is>
      </c>
      <c r="B249" t="inlineStr">
        <is>
          <t>avverkningsanmälan</t>
        </is>
      </c>
      <c r="C249" t="inlineStr">
        <is>
          <t>Föryngringsavverkning</t>
        </is>
      </c>
      <c r="D249" s="1" t="n">
        <v>45222</v>
      </c>
      <c r="E249" s="1" t="n">
        <v>46222</v>
      </c>
      <c r="F249" t="inlineStr">
        <is>
          <t>ÖSTERGÖTLANDS LÄN</t>
        </is>
      </c>
      <c r="G249" t="inlineStr">
        <is>
          <t>BOXHOLM</t>
        </is>
      </c>
      <c r="H249" t="inlineStr">
        <is>
          <t>Allmännings- och besparingsskogar</t>
        </is>
      </c>
      <c r="I249" t="n">
        <v>24.2</v>
      </c>
      <c r="J249" t="n">
        <v>0</v>
      </c>
      <c r="K249" t="n">
        <v>0</v>
      </c>
      <c r="L249" t="n">
        <v>0</v>
      </c>
      <c r="M249" t="n">
        <v>0</v>
      </c>
      <c r="N249" t="n">
        <v>0</v>
      </c>
      <c r="O249" t="n">
        <v>0</v>
      </c>
      <c r="P249" t="n">
        <v>0</v>
      </c>
      <c r="Q249" t="n">
        <v>0</v>
      </c>
      <c r="R249" t="n">
        <v>0</v>
      </c>
      <c r="S249" t="n">
        <v>0</v>
      </c>
      <c r="T249" t="n">
        <v>0</v>
      </c>
      <c r="U249" s="2" t="inlineStr"/>
    </row>
    <row r="250" ht="15" customHeight="1">
      <c r="A250" t="inlineStr">
        <is>
          <t>A 10315-2025</t>
        </is>
      </c>
      <c r="B250" t="inlineStr">
        <is>
          <t>avverkningsanmälan</t>
        </is>
      </c>
      <c r="C250" t="inlineStr">
        <is>
          <t>Föryngringsavverkning</t>
        </is>
      </c>
      <c r="D250" s="1" t="n">
        <v>45720</v>
      </c>
      <c r="E250" s="1" t="n">
        <v>46222</v>
      </c>
      <c r="F250" t="inlineStr">
        <is>
          <t>ÖSTERGÖTLANDS LÄN</t>
        </is>
      </c>
      <c r="G250" t="inlineStr">
        <is>
          <t>BOXHOLM</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21119-2026</t>
        </is>
      </c>
      <c r="B251" t="inlineStr">
        <is>
          <t>avverkningsanmälan</t>
        </is>
      </c>
      <c r="C251" t="inlineStr">
        <is>
          <t>Föryngringsavverkning</t>
        </is>
      </c>
      <c r="D251" s="1" t="n">
        <v>46146</v>
      </c>
      <c r="E251" s="1" t="n">
        <v>46222</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3569-2024</t>
        </is>
      </c>
      <c r="B252" t="inlineStr">
        <is>
          <t>avverkningsanmälan</t>
        </is>
      </c>
      <c r="C252" t="inlineStr">
        <is>
          <t>Föryngringsavverkning</t>
        </is>
      </c>
      <c r="D252" s="1" t="n">
        <v>45320</v>
      </c>
      <c r="E252" s="1" t="n">
        <v>46222</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4415-2024</t>
        </is>
      </c>
      <c r="B253" t="inlineStr">
        <is>
          <t>avverkningsanmälan</t>
        </is>
      </c>
      <c r="C253" t="inlineStr">
        <is>
          <t>Föryngringsavverkning</t>
        </is>
      </c>
      <c r="D253" s="1" t="n">
        <v>45327</v>
      </c>
      <c r="E253" s="1" t="n">
        <v>46222</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s="2" t="inlineStr"/>
    </row>
    <row r="254" ht="15" customHeight="1">
      <c r="A254" t="inlineStr">
        <is>
          <t>A 17728-2025</t>
        </is>
      </c>
      <c r="B254" t="inlineStr">
        <is>
          <t>avverkningsanmälan</t>
        </is>
      </c>
      <c r="C254" t="inlineStr">
        <is>
          <t>Föryngringsavverkning</t>
        </is>
      </c>
      <c r="D254" s="1" t="n">
        <v>45758</v>
      </c>
      <c r="E254" s="1" t="n">
        <v>46222</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27485-2026</t>
        </is>
      </c>
      <c r="B255" t="inlineStr">
        <is>
          <t>avverkningsanmälan</t>
        </is>
      </c>
      <c r="C255" t="inlineStr">
        <is>
          <t>Avverkning för att bevara och utveckla /försöksver</t>
        </is>
      </c>
      <c r="D255" s="1" t="n">
        <v>46189</v>
      </c>
      <c r="E255" s="1" t="n">
        <v>46222</v>
      </c>
      <c r="F255" t="inlineStr">
        <is>
          <t>ÖSTERGÖTLANDS LÄN</t>
        </is>
      </c>
      <c r="G255" t="inlineStr">
        <is>
          <t>BOXHOLM</t>
        </is>
      </c>
      <c r="H255" t="inlineStr">
        <is>
          <t>Övriga Aktiebolag</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931-2024</t>
        </is>
      </c>
      <c r="B256" t="inlineStr">
        <is>
          <t>avverkningsanmälan</t>
        </is>
      </c>
      <c r="C256" t="inlineStr">
        <is>
          <t>Föryngringsavverkning</t>
        </is>
      </c>
      <c r="D256" s="1" t="n">
        <v>45301</v>
      </c>
      <c r="E256" s="1" t="n">
        <v>46222</v>
      </c>
      <c r="F256" t="inlineStr">
        <is>
          <t>ÖSTERGÖTLANDS LÄN</t>
        </is>
      </c>
      <c r="G256" t="inlineStr">
        <is>
          <t>BOXHOLM</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10152-2024</t>
        </is>
      </c>
      <c r="B257" t="inlineStr">
        <is>
          <t>avverkningsanmälan</t>
        </is>
      </c>
      <c r="C257" t="inlineStr">
        <is>
          <t>Föryngringsavverkning</t>
        </is>
      </c>
      <c r="D257" s="1" t="n">
        <v>45364</v>
      </c>
      <c r="E257" s="1" t="n">
        <v>46222</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42383-2022</t>
        </is>
      </c>
      <c r="B258" t="inlineStr">
        <is>
          <t>avverkningsanmälan</t>
        </is>
      </c>
      <c r="C258" t="inlineStr">
        <is>
          <t>Föryngringsavverkning</t>
        </is>
      </c>
      <c r="D258" s="1" t="n">
        <v>44831</v>
      </c>
      <c r="E258" s="1" t="n">
        <v>46222</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s="2" t="inlineStr"/>
    </row>
    <row r="259" ht="15" customHeight="1">
      <c r="A259" t="inlineStr">
        <is>
          <t>A 12734-2025</t>
        </is>
      </c>
      <c r="B259" t="inlineStr">
        <is>
          <t>avverkningsanmälan</t>
        </is>
      </c>
      <c r="C259" t="inlineStr">
        <is>
          <t>Föryngringsavverkning</t>
        </is>
      </c>
      <c r="D259" s="1" t="n">
        <v>45733</v>
      </c>
      <c r="E259" s="1" t="n">
        <v>46222</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21969-2026</t>
        </is>
      </c>
      <c r="B260" t="inlineStr">
        <is>
          <t>avverkningsanmälan</t>
        </is>
      </c>
      <c r="C260" t="inlineStr">
        <is>
          <t>Föryngringsavverkning</t>
        </is>
      </c>
      <c r="D260" s="1" t="n">
        <v>46152</v>
      </c>
      <c r="E260" s="1" t="n">
        <v>46222</v>
      </c>
      <c r="F260" t="inlineStr">
        <is>
          <t>ÖSTERGÖTLANDS LÄN</t>
        </is>
      </c>
      <c r="G260" t="inlineStr">
        <is>
          <t>BOXHOLM</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28233-2026</t>
        </is>
      </c>
      <c r="B261" t="inlineStr">
        <is>
          <t>avverkningsanmälan</t>
        </is>
      </c>
      <c r="C261" t="inlineStr">
        <is>
          <t>Föryngringsavverkning</t>
        </is>
      </c>
      <c r="D261" s="1" t="n">
        <v>46196</v>
      </c>
      <c r="E261" s="1" t="n">
        <v>46222</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25127-2024</t>
        </is>
      </c>
      <c r="B262" t="inlineStr">
        <is>
          <t>avverkningsanmälan</t>
        </is>
      </c>
      <c r="C262" t="inlineStr">
        <is>
          <t>Avverkning för att bevara och utveckla /försöksver</t>
        </is>
      </c>
      <c r="D262" s="1" t="n">
        <v>45462</v>
      </c>
      <c r="E262" s="1" t="n">
        <v>46222</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7290-2025</t>
        </is>
      </c>
      <c r="B263" t="inlineStr">
        <is>
          <t>avverkningsanmälan</t>
        </is>
      </c>
      <c r="C263" t="inlineStr">
        <is>
          <t>Avverkning för annat ändamål</t>
        </is>
      </c>
      <c r="D263" s="1" t="n">
        <v>45702</v>
      </c>
      <c r="E263" s="1" t="n">
        <v>46222</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9059-2023</t>
        </is>
      </c>
      <c r="B264" t="inlineStr">
        <is>
          <t>avverkningsanmälan</t>
        </is>
      </c>
      <c r="C264" t="inlineStr">
        <is>
          <t>Föryngringsavverkning</t>
        </is>
      </c>
      <c r="D264" s="1" t="n">
        <v>44979</v>
      </c>
      <c r="E264" s="1" t="n">
        <v>46222</v>
      </c>
      <c r="F264" t="inlineStr">
        <is>
          <t>ÖSTERGÖTLANDS LÄN</t>
        </is>
      </c>
      <c r="G264" t="inlineStr">
        <is>
          <t>BOXHOLM</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24122-2023</t>
        </is>
      </c>
      <c r="B265" t="inlineStr">
        <is>
          <t>avverkningsanmälan</t>
        </is>
      </c>
      <c r="C265" t="inlineStr">
        <is>
          <t>Föryngringsavverkning</t>
        </is>
      </c>
      <c r="D265" s="1" t="n">
        <v>45079</v>
      </c>
      <c r="E265" s="1" t="n">
        <v>46222</v>
      </c>
      <c r="F265" t="inlineStr">
        <is>
          <t>ÖSTERGÖTLANDS LÄN</t>
        </is>
      </c>
      <c r="G265" t="inlineStr">
        <is>
          <t>BOXHOLM</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21635-2023</t>
        </is>
      </c>
      <c r="B266" t="inlineStr">
        <is>
          <t>avverkningsanmälan</t>
        </is>
      </c>
      <c r="C266" t="inlineStr">
        <is>
          <t>Föryngringsavverkning</t>
        </is>
      </c>
      <c r="D266" s="1" t="n">
        <v>45062</v>
      </c>
      <c r="E266" s="1" t="n">
        <v>46222</v>
      </c>
      <c r="F266" t="inlineStr">
        <is>
          <t>ÖSTERGÖTLANDS LÄN</t>
        </is>
      </c>
      <c r="G266" t="inlineStr">
        <is>
          <t>BOXHOLM</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27816-2025</t>
        </is>
      </c>
      <c r="B267" t="inlineStr">
        <is>
          <t>avverkningsanmälan</t>
        </is>
      </c>
      <c r="C267" t="inlineStr">
        <is>
          <t>Avverkning för annat ändamål</t>
        </is>
      </c>
      <c r="D267" s="1" t="n">
        <v>45817</v>
      </c>
      <c r="E267" s="1" t="n">
        <v>46222</v>
      </c>
      <c r="F267" t="inlineStr">
        <is>
          <t>ÖSTERGÖTLANDS LÄN</t>
        </is>
      </c>
      <c r="G267" t="inlineStr">
        <is>
          <t>BOXHOLM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966-2024</t>
        </is>
      </c>
      <c r="B268" t="inlineStr">
        <is>
          <t>avverkningsanmälan</t>
        </is>
      </c>
      <c r="C268" t="inlineStr">
        <is>
          <t>Föryngringsavverkning</t>
        </is>
      </c>
      <c r="D268" s="1" t="n">
        <v>45301</v>
      </c>
      <c r="E268" s="1" t="n">
        <v>46222</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28865-2026</t>
        </is>
      </c>
      <c r="B269" t="inlineStr">
        <is>
          <t>avverkningsanmälan</t>
        </is>
      </c>
      <c r="C269" t="inlineStr">
        <is>
          <t>Föryngringsavverkning</t>
        </is>
      </c>
      <c r="D269" s="1" t="n">
        <v>46199</v>
      </c>
      <c r="E269" s="1" t="n">
        <v>46222</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11850-2026</t>
        </is>
      </c>
      <c r="B270" t="inlineStr">
        <is>
          <t>avverkningsanmälan</t>
        </is>
      </c>
      <c r="C270" t="inlineStr">
        <is>
          <t>Avverkning för annat ändamål</t>
        </is>
      </c>
      <c r="D270" s="1" t="n">
        <v>46085</v>
      </c>
      <c r="E270" s="1" t="n">
        <v>46222</v>
      </c>
      <c r="F270" t="inlineStr">
        <is>
          <t>ÖSTERGÖTLANDS LÄN</t>
        </is>
      </c>
      <c r="G270" t="inlineStr">
        <is>
          <t>BOXHOLM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47978-2023</t>
        </is>
      </c>
      <c r="B271" t="inlineStr">
        <is>
          <t>avverkningsanmälan</t>
        </is>
      </c>
      <c r="C271" t="inlineStr">
        <is>
          <t>Föryngringsavverkning</t>
        </is>
      </c>
      <c r="D271" s="1" t="n">
        <v>45204</v>
      </c>
      <c r="E271" s="1" t="n">
        <v>46222</v>
      </c>
      <c r="F271" t="inlineStr">
        <is>
          <t>ÖSTERGÖTLANDS LÄN</t>
        </is>
      </c>
      <c r="G271" t="inlineStr">
        <is>
          <t>BOXHOLM</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15526-2023</t>
        </is>
      </c>
      <c r="B272" t="inlineStr">
        <is>
          <t>avverkningsanmälan</t>
        </is>
      </c>
      <c r="C272" t="inlineStr">
        <is>
          <t>Föryngringsavverkning</t>
        </is>
      </c>
      <c r="D272" s="1" t="n">
        <v>45020</v>
      </c>
      <c r="E272" s="1" t="n">
        <v>46222</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62192-2022</t>
        </is>
      </c>
      <c r="B273" t="inlineStr">
        <is>
          <t>avverkningsanmälan</t>
        </is>
      </c>
      <c r="C273" t="inlineStr">
        <is>
          <t>Föryngringsavverkning</t>
        </is>
      </c>
      <c r="D273" s="1" t="n">
        <v>44914</v>
      </c>
      <c r="E273" s="1" t="n">
        <v>46222</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954-2024</t>
        </is>
      </c>
      <c r="B274" t="inlineStr">
        <is>
          <t>avverkningsanmälan</t>
        </is>
      </c>
      <c r="C274" t="inlineStr">
        <is>
          <t>Föryngringsavverkning</t>
        </is>
      </c>
      <c r="D274" s="1" t="n">
        <v>45301</v>
      </c>
      <c r="E274" s="1" t="n">
        <v>46222</v>
      </c>
      <c r="F274" t="inlineStr">
        <is>
          <t>ÖSTERGÖTLANDS LÄN</t>
        </is>
      </c>
      <c r="G274" t="inlineStr">
        <is>
          <t>BOXHOLM</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965-2024</t>
        </is>
      </c>
      <c r="B275" t="inlineStr">
        <is>
          <t>avverkningsanmälan</t>
        </is>
      </c>
      <c r="C275" t="inlineStr">
        <is>
          <t>Föryngringsavverkning</t>
        </is>
      </c>
      <c r="D275" s="1" t="n">
        <v>45301</v>
      </c>
      <c r="E275" s="1" t="n">
        <v>46222</v>
      </c>
      <c r="F275" t="inlineStr">
        <is>
          <t>ÖSTERGÖTLANDS LÄN</t>
        </is>
      </c>
      <c r="G275" t="inlineStr">
        <is>
          <t>BOXHOLM</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46588-2021</t>
        </is>
      </c>
      <c r="B276" t="inlineStr">
        <is>
          <t>avverkningsanmälan</t>
        </is>
      </c>
      <c r="C276" t="inlineStr">
        <is>
          <t>Föryngringsavverkning</t>
        </is>
      </c>
      <c r="D276" s="1" t="n">
        <v>44445</v>
      </c>
      <c r="E276" s="1" t="n">
        <v>46222</v>
      </c>
      <c r="F276" t="inlineStr">
        <is>
          <t>ÖSTERGÖTLANDS LÄN</t>
        </is>
      </c>
      <c r="G276" t="inlineStr">
        <is>
          <t>BOXHOLM</t>
        </is>
      </c>
      <c r="I276" t="n">
        <v>3.5</v>
      </c>
      <c r="J276" t="n">
        <v>0</v>
      </c>
      <c r="K276" t="n">
        <v>0</v>
      </c>
      <c r="L276" t="n">
        <v>0</v>
      </c>
      <c r="M276" t="n">
        <v>0</v>
      </c>
      <c r="N276" t="n">
        <v>0</v>
      </c>
      <c r="O276" t="n">
        <v>0</v>
      </c>
      <c r="P276" t="n">
        <v>0</v>
      </c>
      <c r="Q276" t="n">
        <v>0</v>
      </c>
      <c r="R276" t="n">
        <v>0</v>
      </c>
      <c r="S276" t="n">
        <v>0</v>
      </c>
      <c r="T276" t="n">
        <v>0</v>
      </c>
      <c r="U276" s="2" t="inlineStr"/>
    </row>
    <row r="277" ht="15" customHeight="1">
      <c r="A277" t="inlineStr">
        <is>
          <t>A 50239-2024</t>
        </is>
      </c>
      <c r="B277" t="inlineStr">
        <is>
          <t>avverkningsanmälan</t>
        </is>
      </c>
      <c r="C277" t="inlineStr">
        <is>
          <t>Avverkning för att bevara och utveckla /försöksver</t>
        </is>
      </c>
      <c r="D277" s="1" t="n">
        <v>45600</v>
      </c>
      <c r="E277" s="1" t="n">
        <v>46222</v>
      </c>
      <c r="F277" t="inlineStr">
        <is>
          <t>ÖSTERGÖTLANDS LÄN</t>
        </is>
      </c>
      <c r="G277" t="inlineStr">
        <is>
          <t>BOXHOLM</t>
        </is>
      </c>
      <c r="H277" t="inlineStr">
        <is>
          <t>Övriga Aktiebolag</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50251-2024</t>
        </is>
      </c>
      <c r="B278" t="inlineStr">
        <is>
          <t>avverkningsanmälan</t>
        </is>
      </c>
      <c r="C278" t="inlineStr">
        <is>
          <t>Avverkning för att bevara och utveckla /försöksver</t>
        </is>
      </c>
      <c r="D278" s="1" t="n">
        <v>45600</v>
      </c>
      <c r="E278" s="1" t="n">
        <v>46222</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8771-2022</t>
        </is>
      </c>
      <c r="B279" t="inlineStr">
        <is>
          <t>avverkningsanmälan</t>
        </is>
      </c>
      <c r="C279" t="inlineStr">
        <is>
          <t>Föryngringsavverkning</t>
        </is>
      </c>
      <c r="D279" s="1" t="n">
        <v>44614</v>
      </c>
      <c r="E279" s="1" t="n">
        <v>46222</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29974-2026</t>
        </is>
      </c>
      <c r="B280" t="inlineStr">
        <is>
          <t>avverkningsanmälan</t>
        </is>
      </c>
      <c r="C280" t="inlineStr">
        <is>
          <t>Föryngringsavverkning</t>
        </is>
      </c>
      <c r="D280" s="1" t="n">
        <v>46205</v>
      </c>
      <c r="E280" s="1" t="n">
        <v>46222</v>
      </c>
      <c r="F280" t="inlineStr">
        <is>
          <t>ÖSTERGÖTLANDS LÄN</t>
        </is>
      </c>
      <c r="G280" t="inlineStr">
        <is>
          <t>BOXHOLM</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29975-2026</t>
        </is>
      </c>
      <c r="B281" t="inlineStr">
        <is>
          <t>avverkningsanmälan</t>
        </is>
      </c>
      <c r="C281" t="inlineStr">
        <is>
          <t>Föryngringsavverkning</t>
        </is>
      </c>
      <c r="D281" s="1" t="n">
        <v>46205</v>
      </c>
      <c r="E281" s="1" t="n">
        <v>46222</v>
      </c>
      <c r="F281" t="inlineStr">
        <is>
          <t>ÖSTERGÖTLANDS LÄN</t>
        </is>
      </c>
      <c r="G281" t="inlineStr">
        <is>
          <t>BOXHOLM</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4190-2024</t>
        </is>
      </c>
      <c r="B282" t="inlineStr">
        <is>
          <t>avverkningsanmälan</t>
        </is>
      </c>
      <c r="C282" t="inlineStr">
        <is>
          <t>Föryngringsavverkning</t>
        </is>
      </c>
      <c r="D282" s="1" t="n">
        <v>45324</v>
      </c>
      <c r="E282" s="1" t="n">
        <v>46222</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26648-2025</t>
        </is>
      </c>
      <c r="B283" t="inlineStr">
        <is>
          <t>avverkningsanmälan</t>
        </is>
      </c>
      <c r="C283" t="inlineStr">
        <is>
          <t>Föryngringsavverkning</t>
        </is>
      </c>
      <c r="D283" s="1" t="n">
        <v>45809</v>
      </c>
      <c r="E283" s="1" t="n">
        <v>46222</v>
      </c>
      <c r="F283" t="inlineStr">
        <is>
          <t>ÖSTERGÖTLANDS LÄN</t>
        </is>
      </c>
      <c r="G283" t="inlineStr">
        <is>
          <t>BOXHOLM</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29976-2026</t>
        </is>
      </c>
      <c r="B284" t="inlineStr">
        <is>
          <t>avverkningsanmälan</t>
        </is>
      </c>
      <c r="C284" t="inlineStr">
        <is>
          <t>Föryngringsavverkning</t>
        </is>
      </c>
      <c r="D284" s="1" t="n">
        <v>46205</v>
      </c>
      <c r="E284" s="1" t="n">
        <v>46222</v>
      </c>
      <c r="F284" t="inlineStr">
        <is>
          <t>ÖSTERGÖTLANDS LÄN</t>
        </is>
      </c>
      <c r="G284" t="inlineStr">
        <is>
          <t>BOXHOLM</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29977-2026</t>
        </is>
      </c>
      <c r="B285" t="inlineStr">
        <is>
          <t>avverkningsanmälan</t>
        </is>
      </c>
      <c r="C285" t="inlineStr">
        <is>
          <t>Föryngringsavverkning</t>
        </is>
      </c>
      <c r="D285" s="1" t="n">
        <v>46205</v>
      </c>
      <c r="E285" s="1" t="n">
        <v>46222</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23831-2026</t>
        </is>
      </c>
      <c r="B286" t="inlineStr">
        <is>
          <t>avverkningsanmälan</t>
        </is>
      </c>
      <c r="C286" t="inlineStr">
        <is>
          <t>Föryngringsavverkning</t>
        </is>
      </c>
      <c r="D286" s="1" t="n">
        <v>46167</v>
      </c>
      <c r="E286" s="1" t="n">
        <v>46222</v>
      </c>
      <c r="F286" t="inlineStr">
        <is>
          <t>ÖSTERGÖTLANDS LÄN</t>
        </is>
      </c>
      <c r="G286" t="inlineStr">
        <is>
          <t>BOXHOLM</t>
        </is>
      </c>
      <c r="H286" t="inlineStr">
        <is>
          <t>Övriga Aktiebolag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15386-2025</t>
        </is>
      </c>
      <c r="B287" t="inlineStr">
        <is>
          <t>avverkningsanmälan</t>
        </is>
      </c>
      <c r="C287" t="inlineStr">
        <is>
          <t>Avverkning för att bevara och utveckla /försöksver</t>
        </is>
      </c>
      <c r="D287" s="1" t="n">
        <v>45747</v>
      </c>
      <c r="E287" s="1" t="n">
        <v>46222</v>
      </c>
      <c r="F287" t="inlineStr">
        <is>
          <t>ÖSTERGÖTLANDS LÄN</t>
        </is>
      </c>
      <c r="G287" t="inlineStr">
        <is>
          <t>BOXHOLM</t>
        </is>
      </c>
      <c r="H287" t="inlineStr">
        <is>
          <t>Övriga Aktiebolag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49089-2023</t>
        </is>
      </c>
      <c r="B288" t="inlineStr">
        <is>
          <t>avverkningsanmälan</t>
        </is>
      </c>
      <c r="C288" t="inlineStr">
        <is>
          <t>Föryngringsavverkning</t>
        </is>
      </c>
      <c r="D288" s="1" t="n">
        <v>45210</v>
      </c>
      <c r="E288" s="1" t="n">
        <v>46222</v>
      </c>
      <c r="F288" t="inlineStr">
        <is>
          <t>ÖSTERGÖTLANDS LÄN</t>
        </is>
      </c>
      <c r="G288" t="inlineStr">
        <is>
          <t>BOXHOLM</t>
        </is>
      </c>
      <c r="I288" t="n">
        <v>11.2</v>
      </c>
      <c r="J288" t="n">
        <v>0</v>
      </c>
      <c r="K288" t="n">
        <v>0</v>
      </c>
      <c r="L288" t="n">
        <v>0</v>
      </c>
      <c r="M288" t="n">
        <v>0</v>
      </c>
      <c r="N288" t="n">
        <v>0</v>
      </c>
      <c r="O288" t="n">
        <v>0</v>
      </c>
      <c r="P288" t="n">
        <v>0</v>
      </c>
      <c r="Q288" t="n">
        <v>0</v>
      </c>
      <c r="R288" t="n">
        <v>0</v>
      </c>
      <c r="S288" t="n">
        <v>0</v>
      </c>
      <c r="T288" t="n">
        <v>0</v>
      </c>
      <c r="U288" s="2" t="inlineStr"/>
    </row>
    <row r="289" ht="15" customHeight="1">
      <c r="A289" t="inlineStr">
        <is>
          <t>A 31249-2026</t>
        </is>
      </c>
      <c r="B289" t="inlineStr">
        <is>
          <t>avverkningsanmälan</t>
        </is>
      </c>
      <c r="C289" t="inlineStr">
        <is>
          <t>Föryngringsavverkning</t>
        </is>
      </c>
      <c r="D289" s="1" t="n">
        <v>46218</v>
      </c>
      <c r="E289" s="1" t="n">
        <v>46222</v>
      </c>
      <c r="F289" t="inlineStr">
        <is>
          <t>ÖSTERGÖTLANDS LÄN</t>
        </is>
      </c>
      <c r="G289" t="inlineStr">
        <is>
          <t>BOXHOLM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31250-2026</t>
        </is>
      </c>
      <c r="B290" t="inlineStr">
        <is>
          <t>avverkningsanmälan</t>
        </is>
      </c>
      <c r="C290" t="inlineStr">
        <is>
          <t>Föryngringsavverkning</t>
        </is>
      </c>
      <c r="D290" s="1" t="n">
        <v>46218</v>
      </c>
      <c r="E290" s="1" t="n">
        <v>46222</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52964-2023</t>
        </is>
      </c>
      <c r="B291" t="inlineStr">
        <is>
          <t>avverkningsanmälan</t>
        </is>
      </c>
      <c r="C291" t="inlineStr">
        <is>
          <t>Föryngringsavverkning</t>
        </is>
      </c>
      <c r="D291" s="1" t="n">
        <v>45226</v>
      </c>
      <c r="E291" s="1" t="n">
        <v>46222</v>
      </c>
      <c r="F291" t="inlineStr">
        <is>
          <t>ÖSTERGÖTLANDS LÄN</t>
        </is>
      </c>
      <c r="G291" t="inlineStr">
        <is>
          <t>BOXHOLM</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10331-2024</t>
        </is>
      </c>
      <c r="B292" t="inlineStr">
        <is>
          <t>avverkningsanmälan</t>
        </is>
      </c>
      <c r="C292" t="inlineStr">
        <is>
          <t>Föryngringsavverkning</t>
        </is>
      </c>
      <c r="D292" s="1" t="n">
        <v>45365</v>
      </c>
      <c r="E292" s="1" t="n">
        <v>46222</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13606-2024</t>
        </is>
      </c>
      <c r="B293" t="inlineStr">
        <is>
          <t>avverkningsanmälan</t>
        </is>
      </c>
      <c r="C293" t="inlineStr">
        <is>
          <t>Föryngringsavverkning</t>
        </is>
      </c>
      <c r="D293" s="1" t="n">
        <v>45390</v>
      </c>
      <c r="E293" s="1" t="n">
        <v>46222</v>
      </c>
      <c r="F293" t="inlineStr">
        <is>
          <t>ÖSTERGÖTLANDS LÄN</t>
        </is>
      </c>
      <c r="G293" t="inlineStr">
        <is>
          <t>BOXHOLM</t>
        </is>
      </c>
      <c r="H293" t="inlineStr">
        <is>
          <t>Övriga Aktiebolag</t>
        </is>
      </c>
      <c r="I293" t="n">
        <v>5.8</v>
      </c>
      <c r="J293" t="n">
        <v>0</v>
      </c>
      <c r="K293" t="n">
        <v>0</v>
      </c>
      <c r="L293" t="n">
        <v>0</v>
      </c>
      <c r="M293" t="n">
        <v>0</v>
      </c>
      <c r="N293" t="n">
        <v>0</v>
      </c>
      <c r="O293" t="n">
        <v>0</v>
      </c>
      <c r="P293" t="n">
        <v>0</v>
      </c>
      <c r="Q293" t="n">
        <v>0</v>
      </c>
      <c r="R293" t="n">
        <v>0</v>
      </c>
      <c r="S293" t="n">
        <v>0</v>
      </c>
      <c r="T293" t="n">
        <v>0</v>
      </c>
      <c r="U293" s="2" t="inlineStr"/>
    </row>
    <row r="294" ht="15" customHeight="1">
      <c r="A294" t="inlineStr">
        <is>
          <t>A 25470-2026</t>
        </is>
      </c>
      <c r="B294" t="inlineStr">
        <is>
          <t>avverkningsanmälan</t>
        </is>
      </c>
      <c r="C294" t="inlineStr">
        <is>
          <t>Föryngringsavverkning</t>
        </is>
      </c>
      <c r="D294" s="1" t="n">
        <v>46177</v>
      </c>
      <c r="E294" s="1" t="n">
        <v>46222</v>
      </c>
      <c r="F294" t="inlineStr">
        <is>
          <t>ÖSTERGÖTLANDS LÄN</t>
        </is>
      </c>
      <c r="G294" t="inlineStr">
        <is>
          <t>BOXHOLM</t>
        </is>
      </c>
      <c r="H294" t="inlineStr">
        <is>
          <t>Kyrkan</t>
        </is>
      </c>
      <c r="I294" t="n">
        <v>13.8</v>
      </c>
      <c r="J294" t="n">
        <v>0</v>
      </c>
      <c r="K294" t="n">
        <v>0</v>
      </c>
      <c r="L294" t="n">
        <v>0</v>
      </c>
      <c r="M294" t="n">
        <v>0</v>
      </c>
      <c r="N294" t="n">
        <v>0</v>
      </c>
      <c r="O294" t="n">
        <v>0</v>
      </c>
      <c r="P294" t="n">
        <v>0</v>
      </c>
      <c r="Q294" t="n">
        <v>0</v>
      </c>
      <c r="R294" t="n">
        <v>0</v>
      </c>
      <c r="S294" t="n">
        <v>0</v>
      </c>
      <c r="T294" t="n">
        <v>0</v>
      </c>
      <c r="U294" s="2" t="inlineStr"/>
    </row>
    <row r="295" ht="15" customHeight="1">
      <c r="A295" t="inlineStr">
        <is>
          <t>A 15420-2025</t>
        </is>
      </c>
      <c r="B295" t="inlineStr">
        <is>
          <t>avverkningsanmälan</t>
        </is>
      </c>
      <c r="C295" t="inlineStr">
        <is>
          <t>Avverkning för att bevara och utveckla /försöksver</t>
        </is>
      </c>
      <c r="D295" s="1" t="n">
        <v>45747</v>
      </c>
      <c r="E295" s="1" t="n">
        <v>46222</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25892-2026</t>
        </is>
      </c>
      <c r="B296" t="inlineStr">
        <is>
          <t>avverkningsanmälan</t>
        </is>
      </c>
      <c r="C296" t="inlineStr">
        <is>
          <t>Föryngringsavverkning</t>
        </is>
      </c>
      <c r="D296" s="1" t="n">
        <v>46178</v>
      </c>
      <c r="E296" s="1" t="n">
        <v>46222</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s="2" t="inlineStr"/>
    </row>
    <row r="297" ht="15" customHeight="1">
      <c r="A297" t="inlineStr">
        <is>
          <t>A 27305-2026</t>
        </is>
      </c>
      <c r="B297" t="inlineStr">
        <is>
          <t>avverkningsanmälan</t>
        </is>
      </c>
      <c r="C297" t="inlineStr">
        <is>
          <t>Avverkning för att bevara och utveckla /försöksver</t>
        </is>
      </c>
      <c r="D297" s="1" t="n">
        <v>46188</v>
      </c>
      <c r="E297" s="1" t="n">
        <v>46222</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32089-2024</t>
        </is>
      </c>
      <c r="B298" t="inlineStr">
        <is>
          <t>avverkningsanmälan</t>
        </is>
      </c>
      <c r="C298" t="inlineStr">
        <is>
          <t>Föryngringsavverkning</t>
        </is>
      </c>
      <c r="D298" s="1" t="n">
        <v>45511</v>
      </c>
      <c r="E298" s="1" t="n">
        <v>46222</v>
      </c>
      <c r="F298" t="inlineStr">
        <is>
          <t>ÖSTERGÖTLANDS LÄN</t>
        </is>
      </c>
      <c r="G298" t="inlineStr">
        <is>
          <t>BOXHOLM</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39028-2023</t>
        </is>
      </c>
      <c r="B299" t="inlineStr">
        <is>
          <t>avverkningsanmälan</t>
        </is>
      </c>
      <c r="C299" t="inlineStr">
        <is>
          <t>Föryngringsavverkning</t>
        </is>
      </c>
      <c r="D299" s="1" t="n">
        <v>45163</v>
      </c>
      <c r="E299" s="1" t="n">
        <v>46222</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s="2" t="inlineStr"/>
    </row>
    <row r="300" ht="15" customHeight="1">
      <c r="A300" t="inlineStr">
        <is>
          <t>A 60797-2023</t>
        </is>
      </c>
      <c r="B300" t="inlineStr">
        <is>
          <t>avverkningsanmälan</t>
        </is>
      </c>
      <c r="C300" t="inlineStr">
        <is>
          <t>Föryngringsavverkning</t>
        </is>
      </c>
      <c r="D300" s="1" t="n">
        <v>45259</v>
      </c>
      <c r="E300" s="1" t="n">
        <v>46222</v>
      </c>
      <c r="F300" t="inlineStr">
        <is>
          <t>ÖSTERGÖTLANDS LÄN</t>
        </is>
      </c>
      <c r="G300" t="inlineStr">
        <is>
          <t>BOXHOLM</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27647-2023</t>
        </is>
      </c>
      <c r="B301" t="inlineStr">
        <is>
          <t>avverkningsanmälan</t>
        </is>
      </c>
      <c r="C301" t="inlineStr">
        <is>
          <t>Föryngringsavverkning</t>
        </is>
      </c>
      <c r="D301" s="1" t="n">
        <v>45097</v>
      </c>
      <c r="E301" s="1" t="n">
        <v>46222</v>
      </c>
      <c r="F301" t="inlineStr">
        <is>
          <t>ÖSTERGÖTLANDS LÄN</t>
        </is>
      </c>
      <c r="G301" t="inlineStr">
        <is>
          <t>BOXHOLM</t>
        </is>
      </c>
      <c r="H301" t="inlineStr">
        <is>
          <t>Allmännings- och besparingsskogar</t>
        </is>
      </c>
      <c r="I301" t="n">
        <v>7.8</v>
      </c>
      <c r="J301" t="n">
        <v>0</v>
      </c>
      <c r="K301" t="n">
        <v>0</v>
      </c>
      <c r="L301" t="n">
        <v>0</v>
      </c>
      <c r="M301" t="n">
        <v>0</v>
      </c>
      <c r="N301" t="n">
        <v>0</v>
      </c>
      <c r="O301" t="n">
        <v>0</v>
      </c>
      <c r="P301" t="n">
        <v>0</v>
      </c>
      <c r="Q301" t="n">
        <v>0</v>
      </c>
      <c r="R301" t="n">
        <v>0</v>
      </c>
      <c r="S301" t="n">
        <v>0</v>
      </c>
      <c r="T301" t="n">
        <v>0</v>
      </c>
      <c r="U301" s="2" t="inlineStr"/>
    </row>
    <row r="302" ht="15" customHeight="1">
      <c r="A302" t="inlineStr">
        <is>
          <t>A 72283-2021</t>
        </is>
      </c>
      <c r="B302" t="inlineStr">
        <is>
          <t>avverkningsanmälan</t>
        </is>
      </c>
      <c r="C302" t="inlineStr">
        <is>
          <t>Föryngringsavverkning</t>
        </is>
      </c>
      <c r="D302" s="1" t="n">
        <v>44545</v>
      </c>
      <c r="E302" s="1" t="n">
        <v>46222</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48560-2022</t>
        </is>
      </c>
      <c r="B303" t="inlineStr">
        <is>
          <t>avverkningsanmälan</t>
        </is>
      </c>
      <c r="C303" t="inlineStr">
        <is>
          <t>Föryngringsavverkning</t>
        </is>
      </c>
      <c r="D303" s="1" t="n">
        <v>44859</v>
      </c>
      <c r="E303" s="1" t="n">
        <v>46222</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17679-2025</t>
        </is>
      </c>
      <c r="B304" t="inlineStr">
        <is>
          <t>avverkningsanmälan</t>
        </is>
      </c>
      <c r="C304" t="inlineStr">
        <is>
          <t>Avverkning för att bevara och utveckla /försöksver</t>
        </is>
      </c>
      <c r="D304" s="1" t="n">
        <v>45758</v>
      </c>
      <c r="E304" s="1" t="n">
        <v>46222</v>
      </c>
      <c r="F304" t="inlineStr">
        <is>
          <t>ÖSTERGÖTLANDS LÄN</t>
        </is>
      </c>
      <c r="G304" t="inlineStr">
        <is>
          <t>BOXHOLM</t>
        </is>
      </c>
      <c r="H304" t="inlineStr">
        <is>
          <t>Övriga Aktiebolag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14628-2023</t>
        </is>
      </c>
      <c r="B305" t="inlineStr">
        <is>
          <t>avverkningsanmälan</t>
        </is>
      </c>
      <c r="C305" t="inlineStr">
        <is>
          <t>Föryngringsavverkning</t>
        </is>
      </c>
      <c r="D305" s="1" t="n">
        <v>45013</v>
      </c>
      <c r="E305" s="1" t="n">
        <v>46222</v>
      </c>
      <c r="F305" t="inlineStr">
        <is>
          <t>ÖSTERGÖTLANDS LÄN</t>
        </is>
      </c>
      <c r="G305" t="inlineStr">
        <is>
          <t>BOXHOLM</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5824-2024</t>
        </is>
      </c>
      <c r="B306" t="inlineStr">
        <is>
          <t>avverkningsanmälan</t>
        </is>
      </c>
      <c r="C306" t="inlineStr">
        <is>
          <t>Föryngringsavverkning</t>
        </is>
      </c>
      <c r="D306" s="1" t="n">
        <v>45335</v>
      </c>
      <c r="E306" s="1" t="n">
        <v>46222</v>
      </c>
      <c r="F306" t="inlineStr">
        <is>
          <t>ÖSTERGÖTLANDS LÄN</t>
        </is>
      </c>
      <c r="G306" t="inlineStr">
        <is>
          <t>BOXHOLM</t>
        </is>
      </c>
      <c r="H306" t="inlineStr">
        <is>
          <t>Allmännings- och besparingsskogar</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960-2024</t>
        </is>
      </c>
      <c r="B307" t="inlineStr">
        <is>
          <t>avverkningsanmälan</t>
        </is>
      </c>
      <c r="C307" t="inlineStr">
        <is>
          <t>Föryngringsavverkning</t>
        </is>
      </c>
      <c r="D307" s="1" t="n">
        <v>45301</v>
      </c>
      <c r="E307" s="1" t="n">
        <v>46222</v>
      </c>
      <c r="F307" t="inlineStr">
        <is>
          <t>ÖSTERGÖTLANDS LÄN</t>
        </is>
      </c>
      <c r="G307" t="inlineStr">
        <is>
          <t>BOXHOLM</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40294-2024</t>
        </is>
      </c>
      <c r="B308" t="inlineStr">
        <is>
          <t>avverkningsanmälan</t>
        </is>
      </c>
      <c r="C308" t="inlineStr">
        <is>
          <t>Föryngringsavverkning</t>
        </is>
      </c>
      <c r="D308" s="1" t="n">
        <v>45554</v>
      </c>
      <c r="E308" s="1" t="n">
        <v>46222</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21385-2025</t>
        </is>
      </c>
      <c r="B309" t="inlineStr">
        <is>
          <t>avverkningsanmälan</t>
        </is>
      </c>
      <c r="C309" t="inlineStr">
        <is>
          <t>Föryngringsavverkning</t>
        </is>
      </c>
      <c r="D309" s="1" t="n">
        <v>45782</v>
      </c>
      <c r="E309" s="1" t="n">
        <v>46222</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35648-2023</t>
        </is>
      </c>
      <c r="B310" t="inlineStr">
        <is>
          <t>avverkningsanmälan</t>
        </is>
      </c>
      <c r="C310" t="inlineStr">
        <is>
          <t>Föryngringsavverkning</t>
        </is>
      </c>
      <c r="D310" s="1" t="n">
        <v>45147</v>
      </c>
      <c r="E310" s="1" t="n">
        <v>46222</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6884-2024</t>
        </is>
      </c>
      <c r="B311" t="inlineStr">
        <is>
          <t>avverkningsanmälan</t>
        </is>
      </c>
      <c r="C311" t="inlineStr">
        <is>
          <t>Föryngringsavverkning</t>
        </is>
      </c>
      <c r="D311" s="1" t="n">
        <v>45342</v>
      </c>
      <c r="E311" s="1" t="n">
        <v>46222</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24582-2025</t>
        </is>
      </c>
      <c r="B312" t="inlineStr">
        <is>
          <t>avverkningsanmälan</t>
        </is>
      </c>
      <c r="C312" t="inlineStr">
        <is>
          <t>Föryngringsavverkning</t>
        </is>
      </c>
      <c r="D312" s="1" t="n">
        <v>45797</v>
      </c>
      <c r="E312" s="1" t="n">
        <v>46222</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24325-2025</t>
        </is>
      </c>
      <c r="B313" t="inlineStr">
        <is>
          <t>avverkningsanmälan</t>
        </is>
      </c>
      <c r="C313" t="inlineStr">
        <is>
          <t>Föryngringsavverkning</t>
        </is>
      </c>
      <c r="D313" s="1" t="n">
        <v>45797</v>
      </c>
      <c r="E313" s="1" t="n">
        <v>46222</v>
      </c>
      <c r="F313" t="inlineStr">
        <is>
          <t>ÖSTERGÖTLANDS LÄN</t>
        </is>
      </c>
      <c r="G313" t="inlineStr">
        <is>
          <t>BOXHOLM</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25937-2024</t>
        </is>
      </c>
      <c r="B314" t="inlineStr">
        <is>
          <t>avverkningsanmälan</t>
        </is>
      </c>
      <c r="C314" t="inlineStr">
        <is>
          <t>Föryngringsavverkning</t>
        </is>
      </c>
      <c r="D314" s="1" t="n">
        <v>45467</v>
      </c>
      <c r="E314" s="1" t="n">
        <v>46222</v>
      </c>
      <c r="F314" t="inlineStr">
        <is>
          <t>ÖSTERGÖTLANDS LÄN</t>
        </is>
      </c>
      <c r="G314" t="inlineStr">
        <is>
          <t>BOXHOLM</t>
        </is>
      </c>
      <c r="I314" t="n">
        <v>10</v>
      </c>
      <c r="J314" t="n">
        <v>0</v>
      </c>
      <c r="K314" t="n">
        <v>0</v>
      </c>
      <c r="L314" t="n">
        <v>0</v>
      </c>
      <c r="M314" t="n">
        <v>0</v>
      </c>
      <c r="N314" t="n">
        <v>0</v>
      </c>
      <c r="O314" t="n">
        <v>0</v>
      </c>
      <c r="P314" t="n">
        <v>0</v>
      </c>
      <c r="Q314" t="n">
        <v>0</v>
      </c>
      <c r="R314" t="n">
        <v>0</v>
      </c>
      <c r="S314" t="n">
        <v>0</v>
      </c>
      <c r="T314" t="n">
        <v>0</v>
      </c>
      <c r="U314" s="2" t="inlineStr"/>
    </row>
    <row r="315" ht="15" customHeight="1">
      <c r="A315" t="inlineStr">
        <is>
          <t>S 3421-2024</t>
        </is>
      </c>
      <c r="B315" t="inlineStr">
        <is>
          <t>samrådsanmälan</t>
        </is>
      </c>
      <c r="C315" t="inlineStr">
        <is>
          <t>Annan skogsbruksåtgärd</t>
        </is>
      </c>
      <c r="D315" s="1" t="n">
        <v>45537</v>
      </c>
      <c r="E315" s="1" t="n">
        <v>46222</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S 2704-2025</t>
        </is>
      </c>
      <c r="B316" t="inlineStr">
        <is>
          <t>samrådsanmälan</t>
        </is>
      </c>
      <c r="C316" t="inlineStr">
        <is>
          <t>Annan skogsbruksåtgärd</t>
        </is>
      </c>
      <c r="D316" s="1" t="n">
        <v>45929</v>
      </c>
      <c r="E316" s="1" t="n">
        <v>46222</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2850-2025</t>
        </is>
      </c>
      <c r="B317" t="inlineStr">
        <is>
          <t>samrådsanmälan</t>
        </is>
      </c>
      <c r="C317" t="inlineStr">
        <is>
          <t>Annan skogsbruksåtgärd</t>
        </is>
      </c>
      <c r="D317" s="1" t="n">
        <v>45943</v>
      </c>
      <c r="E317" s="1" t="n">
        <v>46222</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S 3421-2025</t>
        </is>
      </c>
      <c r="B318" t="inlineStr">
        <is>
          <t>samrådsanmälan</t>
        </is>
      </c>
      <c r="C318" t="inlineStr">
        <is>
          <t>Annan skogsbruksåtgärd</t>
        </is>
      </c>
      <c r="D318" s="1" t="n">
        <v>45996</v>
      </c>
      <c r="E318" s="1" t="n">
        <v>46222</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S 3419-2025</t>
        </is>
      </c>
      <c r="B319" t="inlineStr">
        <is>
          <t>samrådsanmälan</t>
        </is>
      </c>
      <c r="C319" t="inlineStr">
        <is>
          <t>Annan skogsbruksåtgärd</t>
        </is>
      </c>
      <c r="D319" s="1" t="n">
        <v>45996</v>
      </c>
      <c r="E319" s="1" t="n">
        <v>46222</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S 1747-2026</t>
        </is>
      </c>
      <c r="B320" t="inlineStr">
        <is>
          <t>samrådsanmälan</t>
        </is>
      </c>
      <c r="C320" t="inlineStr">
        <is>
          <t>Annan skogsbruksåtgärd</t>
        </is>
      </c>
      <c r="D320" s="1" t="n">
        <v>46189</v>
      </c>
      <c r="E320" s="1" t="n">
        <v>46222</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S 1746-2026</t>
        </is>
      </c>
      <c r="B321" t="inlineStr">
        <is>
          <t>samrådsanmälan</t>
        </is>
      </c>
      <c r="C321" t="inlineStr">
        <is>
          <t>Annan skogsbruksåtgärd</t>
        </is>
      </c>
      <c r="D321" s="1" t="n">
        <v>46189</v>
      </c>
      <c r="E321" s="1" t="n">
        <v>46222</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s="2" t="inlineStr"/>
    </row>
    <row r="322">
      <c r="A322" t="inlineStr">
        <is>
          <t>S 1800-2026</t>
        </is>
      </c>
      <c r="B322" t="inlineStr">
        <is>
          <t>samrådsanmälan</t>
        </is>
      </c>
      <c r="C322" t="inlineStr">
        <is>
          <t>Annan skogsbruksåtgärd</t>
        </is>
      </c>
      <c r="D322" s="1" t="n">
        <v>46196</v>
      </c>
      <c r="E322" s="1" t="n">
        <v>46222</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2026-07-19T01:36:31Z</dcterms:created>
  <dcterms:modified xmlns:dcterms="http://purl.org/dc/terms/" xmlns:xsi="http://www.w3.org/2001/XMLSchema-instance" xsi:type="dcterms:W3CDTF">2026-07-19T01:36:32Z</dcterms:modified>
</cp:coreProperties>
</file>