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46282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46282</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46282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46282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46282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46282</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46282</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46282</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46282</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46282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46282</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46282</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46282</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46282</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46282</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46282</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46282</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46282</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46282</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46282</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46282</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43578-2025</t>
        </is>
      </c>
      <c r="B31" t="inlineStr">
        <is>
          <t>avverkningsanmälan</t>
        </is>
      </c>
      <c r="C31" t="inlineStr">
        <is>
          <t>Föryngringsavverkning</t>
        </is>
      </c>
      <c r="D31" s="1" t="n">
        <v>45911</v>
      </c>
      <c r="E31" s="1" t="n">
        <v>46282</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t="n">
        <v>0</v>
      </c>
      <c r="V31" s="2" t="inlineStr">
        <is>
          <t>Grynig filtlav</t>
        </is>
      </c>
      <c r="W31">
        <f>HYPERLINK("https://klasma.github.io/Logging_0560/artfynd/A 43578-2025 artfynd.xlsx", "A 43578-2025")</f>
        <v/>
      </c>
      <c r="X31">
        <f>HYPERLINK("https://klasma.github.io/Logging_0560/kartor/A 43578-2025 karta.png", "A 43578-2025")</f>
        <v/>
      </c>
      <c r="Y31">
        <f>HYPERLINK("https://klasma.github.io/Logging_0560/kartor_geotiff/A 43578-2025 georefererad karta.tif", "A 43578-2025")</f>
        <v/>
      </c>
      <c r="AA31">
        <f>HYPERLINK("https://klasma.github.io/Logging_0560/klagomål/A 43578-2025 FSC-klagomål.docx", "A 43578-2025")</f>
        <v/>
      </c>
      <c r="AB31">
        <f>HYPERLINK("https://klasma.github.io/Logging_0560/klagomålsmail/A 43578-2025 FSC-klagomål mail.docx", "A 43578-2025")</f>
        <v/>
      </c>
      <c r="AC31">
        <f>HYPERLINK("https://klasma.github.io/Logging_0560/tillsyn/A 43578-2025 tillsynsbegäran.docx", "A 43578-2025")</f>
        <v/>
      </c>
      <c r="AD31">
        <f>HYPERLINK("https://klasma.github.io/Logging_0560/tillsynsmail/A 43578-2025 tillsynsbegäran mail.docx", "A 43578-2025")</f>
        <v/>
      </c>
    </row>
    <row r="32" ht="15" customHeight="1">
      <c r="A32" t="inlineStr">
        <is>
          <t>A 5001-2022</t>
        </is>
      </c>
      <c r="B32" t="inlineStr">
        <is>
          <t>avverkningsanmälan</t>
        </is>
      </c>
      <c r="C32" t="inlineStr">
        <is>
          <t>Föryngringsavverkning</t>
        </is>
      </c>
      <c r="D32" s="1" t="n">
        <v>44593</v>
      </c>
      <c r="E32" s="1" t="n">
        <v>46282</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2669-2022</t>
        </is>
      </c>
      <c r="B33" t="inlineStr">
        <is>
          <t>avverkningsanmälan</t>
        </is>
      </c>
      <c r="C33" t="inlineStr">
        <is>
          <t>Föryngringsavverkning</t>
        </is>
      </c>
      <c r="D33" s="1" t="n">
        <v>44580</v>
      </c>
      <c r="E33" s="1" t="n">
        <v>46282</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36475-2025</t>
        </is>
      </c>
      <c r="B34" t="inlineStr">
        <is>
          <t>avverkningsanmälan</t>
        </is>
      </c>
      <c r="C34" t="inlineStr">
        <is>
          <t>Föryngringsavverkning</t>
        </is>
      </c>
      <c r="D34" s="1" t="n">
        <v>45869</v>
      </c>
      <c r="E34" s="1" t="n">
        <v>46282</v>
      </c>
      <c r="F34" t="inlineStr">
        <is>
          <t>ÖSTERGÖTLANDS LÄN</t>
        </is>
      </c>
      <c r="G34" t="inlineStr">
        <is>
          <t>BOXHOLM</t>
        </is>
      </c>
      <c r="H34" t="inlineStr">
        <is>
          <t>Övriga Aktiebolag</t>
        </is>
      </c>
      <c r="I34" t="n">
        <v>2.1</v>
      </c>
      <c r="J34" t="n">
        <v>0</v>
      </c>
      <c r="K34" t="n">
        <v>1</v>
      </c>
      <c r="L34" t="n">
        <v>0</v>
      </c>
      <c r="M34" t="n">
        <v>0</v>
      </c>
      <c r="N34" t="n">
        <v>0</v>
      </c>
      <c r="O34" t="n">
        <v>0</v>
      </c>
      <c r="P34" t="n">
        <v>0</v>
      </c>
      <c r="Q34" t="n">
        <v>0</v>
      </c>
      <c r="R34" t="n">
        <v>0</v>
      </c>
      <c r="S34" t="n">
        <v>1</v>
      </c>
      <c r="T34" t="n">
        <v>2</v>
      </c>
      <c r="U34" t="n">
        <v>0</v>
      </c>
      <c r="V34" s="2" t="inlineStr">
        <is>
          <t>Tibast</t>
        </is>
      </c>
      <c r="W34">
        <f>HYPERLINK("https://klasma.github.io/Logging_0560/artfynd/A 36475-2025 artfynd.xlsx", "A 36475-2025")</f>
        <v/>
      </c>
      <c r="X34">
        <f>HYPERLINK("https://klasma.github.io/Logging_0560/kartor/A 36475-2025 karta.png", "A 36475-2025")</f>
        <v/>
      </c>
      <c r="Y34">
        <f>HYPERLINK("https://klasma.github.io/Logging_0560/kartor_geotiff/A 36475-2025 georefererad karta.tif", "A 36475-2025")</f>
        <v/>
      </c>
      <c r="AA34">
        <f>HYPERLINK("https://klasma.github.io/Logging_0560/klagomål/A 36475-2025 FSC-klagomål.docx", "A 36475-2025")</f>
        <v/>
      </c>
      <c r="AB34">
        <f>HYPERLINK("https://klasma.github.io/Logging_0560/klagomålsmail/A 36475-2025 FSC-klagomål mail.docx", "A 36475-2025")</f>
        <v/>
      </c>
      <c r="AC34">
        <f>HYPERLINK("https://klasma.github.io/Logging_0560/tillsyn/A 36475-2025 tillsynsbegäran.docx", "A 36475-2025")</f>
        <v/>
      </c>
      <c r="AD34">
        <f>HYPERLINK("https://klasma.github.io/Logging_0560/tillsynsmail/A 36475-2025 tillsynsbegäran mail.docx", "A 36475-2025")</f>
        <v/>
      </c>
    </row>
    <row r="35" ht="15" customHeight="1">
      <c r="A35" t="inlineStr">
        <is>
          <t>A 16755-2022</t>
        </is>
      </c>
      <c r="B35" t="inlineStr">
        <is>
          <t>avverkningsanmälan</t>
        </is>
      </c>
      <c r="C35" t="inlineStr">
        <is>
          <t>Föryngringsavverkning</t>
        </is>
      </c>
      <c r="D35" s="1" t="n">
        <v>44673</v>
      </c>
      <c r="E35" s="1" t="n">
        <v>46282</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64028-2025</t>
        </is>
      </c>
      <c r="B36" t="inlineStr">
        <is>
          <t>avverkningsanmälan</t>
        </is>
      </c>
      <c r="C36" t="inlineStr">
        <is>
          <t>Föryngringsavverkning</t>
        </is>
      </c>
      <c r="D36" s="1" t="n">
        <v>46021</v>
      </c>
      <c r="E36" s="1" t="n">
        <v>46282</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52847-2024</t>
        </is>
      </c>
      <c r="B37" t="inlineStr">
        <is>
          <t>avverkningsanmälan</t>
        </is>
      </c>
      <c r="C37" t="inlineStr">
        <is>
          <t>Föryngringsavverkning</t>
        </is>
      </c>
      <c r="D37" s="1" t="n">
        <v>45610</v>
      </c>
      <c r="E37" s="1" t="n">
        <v>46282</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46282</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46282</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46282</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28407-2026</t>
        </is>
      </c>
      <c r="B41" t="inlineStr">
        <is>
          <t>avverkningsanmälan</t>
        </is>
      </c>
      <c r="C41" t="inlineStr">
        <is>
          <t>Föryngringsavverkning</t>
        </is>
      </c>
      <c r="D41" s="1" t="n">
        <v>46197</v>
      </c>
      <c r="E41" s="1" t="n">
        <v>46282</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46282</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46282</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46282</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46282</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46282</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46282</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46282</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46282</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46282</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46282</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46282</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46282</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46282</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46282</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46282</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46282</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46282</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46282</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46282</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46282</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46282</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46282</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46282</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46282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46282</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46282</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46282</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46282</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46282</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46282</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46282</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46282</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46282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46282</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46282</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46282</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46282</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46282</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72283-2021</t>
        </is>
      </c>
      <c r="B87" t="inlineStr">
        <is>
          <t>avverkningsanmälan</t>
        </is>
      </c>
      <c r="C87" t="inlineStr">
        <is>
          <t>Föryngringsavverkning</t>
        </is>
      </c>
      <c r="D87" s="1" t="n">
        <v>44545</v>
      </c>
      <c r="E87" s="1" t="n">
        <v>46282</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22046-2022</t>
        </is>
      </c>
      <c r="B88" t="inlineStr">
        <is>
          <t>avverkningsanmälan</t>
        </is>
      </c>
      <c r="C88" t="inlineStr">
        <is>
          <t>Föryngringsavverkning</t>
        </is>
      </c>
      <c r="D88" s="1" t="n">
        <v>44711</v>
      </c>
      <c r="E88" s="1" t="n">
        <v>46282</v>
      </c>
      <c r="F88" t="inlineStr">
        <is>
          <t>ÖSTERGÖTLANDS LÄN</t>
        </is>
      </c>
      <c r="G88" t="inlineStr">
        <is>
          <t>BOXHOLM</t>
        </is>
      </c>
      <c r="H88" t="inlineStr">
        <is>
          <t>Övriga Aktiebolag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46282</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46282</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46282</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46282</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46282</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46282</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46282</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46282</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46282</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25937-2024</t>
        </is>
      </c>
      <c r="B98" t="inlineStr">
        <is>
          <t>avverkningsanmälan</t>
        </is>
      </c>
      <c r="C98" t="inlineStr">
        <is>
          <t>Föryngringsavverkning</t>
        </is>
      </c>
      <c r="D98" s="1" t="n">
        <v>45467</v>
      </c>
      <c r="E98" s="1" t="n">
        <v>46282</v>
      </c>
      <c r="F98" t="inlineStr">
        <is>
          <t>ÖSTERGÖTLANDS LÄN</t>
        </is>
      </c>
      <c r="G98" t="inlineStr">
        <is>
          <t>BOXHOLM</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46282</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5824-2024</t>
        </is>
      </c>
      <c r="B100" t="inlineStr">
        <is>
          <t>avverkningsanmälan</t>
        </is>
      </c>
      <c r="C100" t="inlineStr">
        <is>
          <t>Föryngringsavverkning</t>
        </is>
      </c>
      <c r="D100" s="1" t="n">
        <v>45335</v>
      </c>
      <c r="E100" s="1" t="n">
        <v>46282</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1090-2026</t>
        </is>
      </c>
      <c r="B101" t="inlineStr">
        <is>
          <t>avverkningsanmälan</t>
        </is>
      </c>
      <c r="C101" t="inlineStr">
        <is>
          <t>Föryngringsavverkning</t>
        </is>
      </c>
      <c r="D101" s="1" t="n">
        <v>46030</v>
      </c>
      <c r="E101" s="1" t="n">
        <v>46282</v>
      </c>
      <c r="F101" t="inlineStr">
        <is>
          <t>ÖSTERGÖTLANDS LÄN</t>
        </is>
      </c>
      <c r="G101" t="inlineStr">
        <is>
          <t>BOXHOLM</t>
        </is>
      </c>
      <c r="H101" t="inlineStr">
        <is>
          <t>Allmännings- och besparingsskogar</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26643-2025</t>
        </is>
      </c>
      <c r="B102" t="inlineStr">
        <is>
          <t>avverkningsanmälan</t>
        </is>
      </c>
      <c r="C102" t="inlineStr">
        <is>
          <t>Föryngringsavverkning</t>
        </is>
      </c>
      <c r="D102" s="1" t="n">
        <v>45809</v>
      </c>
      <c r="E102" s="1" t="n">
        <v>46282</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46282</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46282</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40594-2025</t>
        </is>
      </c>
      <c r="B105" t="inlineStr">
        <is>
          <t>avverkningsanmälan</t>
        </is>
      </c>
      <c r="C105" t="inlineStr">
        <is>
          <t>Föryngringsavverkning</t>
        </is>
      </c>
      <c r="D105" s="1" t="n">
        <v>45896</v>
      </c>
      <c r="E105" s="1" t="n">
        <v>46282</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40583-2025</t>
        </is>
      </c>
      <c r="B106" t="inlineStr">
        <is>
          <t>avverkningsanmälan</t>
        </is>
      </c>
      <c r="C106" t="inlineStr">
        <is>
          <t>Föryngringsavverkning</t>
        </is>
      </c>
      <c r="D106" s="1" t="n">
        <v>45896</v>
      </c>
      <c r="E106" s="1" t="n">
        <v>46282</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41741-2025</t>
        </is>
      </c>
      <c r="B107" t="inlineStr">
        <is>
          <t>avverkningsanmälan</t>
        </is>
      </c>
      <c r="C107" t="inlineStr">
        <is>
          <t>Avverkning för att bevara och utveckla /försöksver</t>
        </is>
      </c>
      <c r="D107" s="1" t="n">
        <v>45902</v>
      </c>
      <c r="E107" s="1" t="n">
        <v>46282</v>
      </c>
      <c r="F107" t="inlineStr">
        <is>
          <t>ÖSTERGÖTLANDS LÄN</t>
        </is>
      </c>
      <c r="G107" t="inlineStr">
        <is>
          <t>BOXHOLM</t>
        </is>
      </c>
      <c r="H107" t="inlineStr">
        <is>
          <t>Övriga Aktiebolag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44896-2023</t>
        </is>
      </c>
      <c r="B108" t="inlineStr">
        <is>
          <t>avverkningsanmälan</t>
        </is>
      </c>
      <c r="C108" t="inlineStr">
        <is>
          <t>Föryngringsavverkning</t>
        </is>
      </c>
      <c r="D108" s="1" t="n">
        <v>45190</v>
      </c>
      <c r="E108" s="1" t="n">
        <v>46282</v>
      </c>
      <c r="F108" t="inlineStr">
        <is>
          <t>ÖSTERGÖTLANDS LÄN</t>
        </is>
      </c>
      <c r="G108" t="inlineStr">
        <is>
          <t>BOXHOLM</t>
        </is>
      </c>
      <c r="H108" t="inlineStr">
        <is>
          <t>Allmännings- och besparingsskogar</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51763-2023</t>
        </is>
      </c>
      <c r="B109" t="inlineStr">
        <is>
          <t>avverkningsanmälan</t>
        </is>
      </c>
      <c r="C109" t="inlineStr">
        <is>
          <t>Föryngringsavverkning</t>
        </is>
      </c>
      <c r="D109" s="1" t="n">
        <v>45222</v>
      </c>
      <c r="E109" s="1" t="n">
        <v>46282</v>
      </c>
      <c r="F109" t="inlineStr">
        <is>
          <t>ÖSTERGÖTLANDS LÄN</t>
        </is>
      </c>
      <c r="G109" t="inlineStr">
        <is>
          <t>BOXHOLM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46282</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2203-2026</t>
        </is>
      </c>
      <c r="B111" t="inlineStr">
        <is>
          <t>avverkningsanmälan</t>
        </is>
      </c>
      <c r="C111" t="inlineStr">
        <is>
          <t>Föryngringsavverkning</t>
        </is>
      </c>
      <c r="D111" s="1" t="n">
        <v>46036</v>
      </c>
      <c r="E111" s="1" t="n">
        <v>46282</v>
      </c>
      <c r="F111" t="inlineStr">
        <is>
          <t>ÖSTERGÖTLANDS LÄN</t>
        </is>
      </c>
      <c r="G111" t="inlineStr">
        <is>
          <t>BOXHOLM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34839-2023</t>
        </is>
      </c>
      <c r="B112" t="inlineStr">
        <is>
          <t>avverkningsanmälan</t>
        </is>
      </c>
      <c r="C112" t="inlineStr">
        <is>
          <t>Föryngringsavverkning</t>
        </is>
      </c>
      <c r="D112" s="1" t="n">
        <v>45141</v>
      </c>
      <c r="E112" s="1" t="n">
        <v>46282</v>
      </c>
      <c r="F112" t="inlineStr">
        <is>
          <t>ÖSTERGÖTLANDS LÄN</t>
        </is>
      </c>
      <c r="G112" t="inlineStr">
        <is>
          <t>BOXHOLM</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15476-2023</t>
        </is>
      </c>
      <c r="B113" t="inlineStr">
        <is>
          <t>avverkningsanmälan</t>
        </is>
      </c>
      <c r="C113" t="inlineStr">
        <is>
          <t>Föryngringsavverkning</t>
        </is>
      </c>
      <c r="D113" s="1" t="n">
        <v>45020</v>
      </c>
      <c r="E113" s="1" t="n">
        <v>46282</v>
      </c>
      <c r="F113" t="inlineStr">
        <is>
          <t>ÖSTERGÖTLANDS LÄN</t>
        </is>
      </c>
      <c r="G113" t="inlineStr">
        <is>
          <t>BOXHOLM</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44706-2025</t>
        </is>
      </c>
      <c r="B114" t="inlineStr">
        <is>
          <t>avverkningsanmälan</t>
        </is>
      </c>
      <c r="C114" t="inlineStr">
        <is>
          <t>Föryngringsavverkning</t>
        </is>
      </c>
      <c r="D114" s="1" t="n">
        <v>45917</v>
      </c>
      <c r="E114" s="1" t="n">
        <v>46282</v>
      </c>
      <c r="F114" t="inlineStr">
        <is>
          <t>ÖSTERGÖTLANDS LÄN</t>
        </is>
      </c>
      <c r="G114" t="inlineStr">
        <is>
          <t>BOXHOLM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44696-2025</t>
        </is>
      </c>
      <c r="B115" t="inlineStr">
        <is>
          <t>avverkningsanmälan</t>
        </is>
      </c>
      <c r="C115" t="inlineStr">
        <is>
          <t>Föryngringsavverkning</t>
        </is>
      </c>
      <c r="D115" s="1" t="n">
        <v>45917</v>
      </c>
      <c r="E115" s="1" t="n">
        <v>46282</v>
      </c>
      <c r="F115" t="inlineStr">
        <is>
          <t>ÖSTERGÖTLANDS LÄN</t>
        </is>
      </c>
      <c r="G115" t="inlineStr">
        <is>
          <t>BOXHOLM</t>
        </is>
      </c>
      <c r="H115" t="inlineStr">
        <is>
          <t>Övriga Aktiebolag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46282</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46282</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45266-2025</t>
        </is>
      </c>
      <c r="B118" t="inlineStr">
        <is>
          <t>avverkningsanmälan</t>
        </is>
      </c>
      <c r="C118" t="inlineStr">
        <is>
          <t>Föryngringsavverkning</t>
        </is>
      </c>
      <c r="D118" s="1" t="n">
        <v>45919</v>
      </c>
      <c r="E118" s="1" t="n">
        <v>46282</v>
      </c>
      <c r="F118" t="inlineStr">
        <is>
          <t>ÖSTERGÖTLANDS LÄN</t>
        </is>
      </c>
      <c r="G118" t="inlineStr">
        <is>
          <t>BOXHOLM</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44803-2025</t>
        </is>
      </c>
      <c r="B119" t="inlineStr">
        <is>
          <t>avverkningsanmälan</t>
        </is>
      </c>
      <c r="C119" t="inlineStr">
        <is>
          <t>Föryngringsavverkning</t>
        </is>
      </c>
      <c r="D119" s="1" t="n">
        <v>45918</v>
      </c>
      <c r="E119" s="1" t="n">
        <v>46282</v>
      </c>
      <c r="F119" t="inlineStr">
        <is>
          <t>ÖSTERGÖTLANDS LÄN</t>
        </is>
      </c>
      <c r="G119" t="inlineStr">
        <is>
          <t>BOXHOLM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46200-2025</t>
        </is>
      </c>
      <c r="B120" t="inlineStr">
        <is>
          <t>avverkningsanmälan</t>
        </is>
      </c>
      <c r="C120" t="inlineStr">
        <is>
          <t>Föryngringsavverkning</t>
        </is>
      </c>
      <c r="D120" s="1" t="n">
        <v>45924</v>
      </c>
      <c r="E120" s="1" t="n">
        <v>46282</v>
      </c>
      <c r="F120" t="inlineStr">
        <is>
          <t>ÖSTERGÖTLANDS LÄN</t>
        </is>
      </c>
      <c r="G120" t="inlineStr">
        <is>
          <t>BOXHOLM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29612-2025</t>
        </is>
      </c>
      <c r="B121" t="inlineStr">
        <is>
          <t>avverkningsanmälan</t>
        </is>
      </c>
      <c r="C121" t="inlineStr">
        <is>
          <t>Föryngringsavverkning</t>
        </is>
      </c>
      <c r="D121" s="1" t="n">
        <v>45825</v>
      </c>
      <c r="E121" s="1" t="n">
        <v>46282</v>
      </c>
      <c r="F121" t="inlineStr">
        <is>
          <t>ÖSTERGÖTLANDS LÄN</t>
        </is>
      </c>
      <c r="G121" t="inlineStr">
        <is>
          <t>BOXHOLM</t>
        </is>
      </c>
      <c r="H121" t="inlineStr">
        <is>
          <t>Övriga Aktiebolag</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21151-2023</t>
        </is>
      </c>
      <c r="B122" t="inlineStr">
        <is>
          <t>avverkningsanmälan</t>
        </is>
      </c>
      <c r="C122" t="inlineStr">
        <is>
          <t>Föryngringsavverkning</t>
        </is>
      </c>
      <c r="D122" s="1" t="n">
        <v>45062</v>
      </c>
      <c r="E122" s="1" t="n">
        <v>46282</v>
      </c>
      <c r="F122" t="inlineStr">
        <is>
          <t>ÖSTERGÖTLANDS LÄN</t>
        </is>
      </c>
      <c r="G122" t="inlineStr">
        <is>
          <t>BOXHOLM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46867-2025</t>
        </is>
      </c>
      <c r="B123" t="inlineStr">
        <is>
          <t>avverkningsanmälan</t>
        </is>
      </c>
      <c r="C123" t="inlineStr">
        <is>
          <t>Föryngringsavverkning</t>
        </is>
      </c>
      <c r="D123" s="1" t="n">
        <v>45929</v>
      </c>
      <c r="E123" s="1" t="n">
        <v>46282</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25230-2023</t>
        </is>
      </c>
      <c r="B124" t="inlineStr">
        <is>
          <t>avverkningsanmälan</t>
        </is>
      </c>
      <c r="C124" t="inlineStr">
        <is>
          <t>Föryngringsavverkning</t>
        </is>
      </c>
      <c r="D124" s="1" t="n">
        <v>45086</v>
      </c>
      <c r="E124" s="1" t="n">
        <v>46282</v>
      </c>
      <c r="F124" t="inlineStr">
        <is>
          <t>ÖSTERGÖTLANDS LÄN</t>
        </is>
      </c>
      <c r="G124" t="inlineStr">
        <is>
          <t>BOXHOLM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10315-2025</t>
        </is>
      </c>
      <c r="B125" t="inlineStr">
        <is>
          <t>avverkningsanmälan</t>
        </is>
      </c>
      <c r="C125" t="inlineStr">
        <is>
          <t>Föryngringsavverkning</t>
        </is>
      </c>
      <c r="D125" s="1" t="n">
        <v>45720</v>
      </c>
      <c r="E125" s="1" t="n">
        <v>46282</v>
      </c>
      <c r="F125" t="inlineStr">
        <is>
          <t>ÖSTERGÖTLANDS LÄN</t>
        </is>
      </c>
      <c r="G125" t="inlineStr">
        <is>
          <t>BOXHOLM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35440-2025</t>
        </is>
      </c>
      <c r="B126" t="inlineStr">
        <is>
          <t>avverkningsanmälan</t>
        </is>
      </c>
      <c r="C126" t="inlineStr">
        <is>
          <t>Avverkning för annat ändamål</t>
        </is>
      </c>
      <c r="D126" s="1" t="n">
        <v>45855</v>
      </c>
      <c r="E126" s="1" t="n">
        <v>46282</v>
      </c>
      <c r="F126" t="inlineStr">
        <is>
          <t>ÖSTERGÖTLANDS LÄN</t>
        </is>
      </c>
      <c r="G126" t="inlineStr">
        <is>
          <t>BOXHOLM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46519-2025</t>
        </is>
      </c>
      <c r="B127" t="inlineStr">
        <is>
          <t>avverkningsanmälan</t>
        </is>
      </c>
      <c r="C127" t="inlineStr">
        <is>
          <t>Föryngringsavverkning</t>
        </is>
      </c>
      <c r="D127" s="1" t="n">
        <v>45924</v>
      </c>
      <c r="E127" s="1" t="n">
        <v>46282</v>
      </c>
      <c r="F127" t="inlineStr">
        <is>
          <t>ÖSTERGÖTLANDS LÄN</t>
        </is>
      </c>
      <c r="G127" t="inlineStr">
        <is>
          <t>BOXHOLM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35345-2023</t>
        </is>
      </c>
      <c r="B128" t="inlineStr">
        <is>
          <t>avverkningsanmälan</t>
        </is>
      </c>
      <c r="C128" t="inlineStr">
        <is>
          <t>Föryngringsavverkning</t>
        </is>
      </c>
      <c r="D128" s="1" t="n">
        <v>45146</v>
      </c>
      <c r="E128" s="1" t="n">
        <v>46282</v>
      </c>
      <c r="F128" t="inlineStr">
        <is>
          <t>ÖSTERGÖTLANDS LÄN</t>
        </is>
      </c>
      <c r="G128" t="inlineStr">
        <is>
          <t>BOXHOLM</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47446-2025</t>
        </is>
      </c>
      <c r="B129" t="inlineStr">
        <is>
          <t>avverkningsanmälan</t>
        </is>
      </c>
      <c r="C129" t="inlineStr">
        <is>
          <t>Föryngringsavverkning</t>
        </is>
      </c>
      <c r="D129" s="1" t="n">
        <v>45930</v>
      </c>
      <c r="E129" s="1" t="n">
        <v>46282</v>
      </c>
      <c r="F129" t="inlineStr">
        <is>
          <t>ÖSTERGÖTLANDS LÄN</t>
        </is>
      </c>
      <c r="G129" t="inlineStr">
        <is>
          <t>BOXHOLM</t>
        </is>
      </c>
      <c r="H129" t="inlineStr">
        <is>
          <t>Övriga Aktiebolag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60797-2023</t>
        </is>
      </c>
      <c r="B130" t="inlineStr">
        <is>
          <t>avverkningsanmälan</t>
        </is>
      </c>
      <c r="C130" t="inlineStr">
        <is>
          <t>Föryngringsavverkning</t>
        </is>
      </c>
      <c r="D130" s="1" t="n">
        <v>45259</v>
      </c>
      <c r="E130" s="1" t="n">
        <v>46282</v>
      </c>
      <c r="F130" t="inlineStr">
        <is>
          <t>ÖSTERGÖTLANDS LÄN</t>
        </is>
      </c>
      <c r="G130" t="inlineStr">
        <is>
          <t>BOXHOLM</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35765-2025</t>
        </is>
      </c>
      <c r="B131" t="inlineStr">
        <is>
          <t>avverkningsanmälan</t>
        </is>
      </c>
      <c r="C131" t="inlineStr">
        <is>
          <t>Föryngringsavverkning</t>
        </is>
      </c>
      <c r="D131" s="1" t="n">
        <v>45860</v>
      </c>
      <c r="E131" s="1" t="n">
        <v>46282</v>
      </c>
      <c r="F131" t="inlineStr">
        <is>
          <t>ÖSTERGÖTLANDS LÄN</t>
        </is>
      </c>
      <c r="G131" t="inlineStr">
        <is>
          <t>BOXHOLM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6239-2025</t>
        </is>
      </c>
      <c r="B132" t="inlineStr">
        <is>
          <t>avverkningsanmälan</t>
        </is>
      </c>
      <c r="C132" t="inlineStr">
        <is>
          <t>Föryngringsavverkning</t>
        </is>
      </c>
      <c r="D132" s="1" t="n">
        <v>45698</v>
      </c>
      <c r="E132" s="1" t="n">
        <v>46282</v>
      </c>
      <c r="F132" t="inlineStr">
        <is>
          <t>ÖSTERGÖTLANDS LÄN</t>
        </is>
      </c>
      <c r="G132" t="inlineStr">
        <is>
          <t>BOXHOLM</t>
        </is>
      </c>
      <c r="H132" t="inlineStr">
        <is>
          <t>Övriga Aktiebolag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36177-2025</t>
        </is>
      </c>
      <c r="B133" t="inlineStr">
        <is>
          <t>avverkningsanmälan</t>
        </is>
      </c>
      <c r="C133" t="inlineStr">
        <is>
          <t>Avverkning för att bevara och utveckla /försöksver</t>
        </is>
      </c>
      <c r="D133" s="1" t="n">
        <v>45867</v>
      </c>
      <c r="E133" s="1" t="n">
        <v>46282</v>
      </c>
      <c r="F133" t="inlineStr">
        <is>
          <t>ÖSTERGÖTLANDS LÄN</t>
        </is>
      </c>
      <c r="G133" t="inlineStr">
        <is>
          <t>BOXHOLM</t>
        </is>
      </c>
      <c r="H133" t="inlineStr">
        <is>
          <t>Övriga Aktiebolag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36175-2025</t>
        </is>
      </c>
      <c r="B134" t="inlineStr">
        <is>
          <t>avverkningsanmälan</t>
        </is>
      </c>
      <c r="C134" t="inlineStr">
        <is>
          <t>Föryngringsavverkning</t>
        </is>
      </c>
      <c r="D134" s="1" t="n">
        <v>45867</v>
      </c>
      <c r="E134" s="1" t="n">
        <v>46282</v>
      </c>
      <c r="F134" t="inlineStr">
        <is>
          <t>ÖSTERGÖTLANDS LÄN</t>
        </is>
      </c>
      <c r="G134" t="inlineStr">
        <is>
          <t>BOXHOLM</t>
        </is>
      </c>
      <c r="H134" t="inlineStr">
        <is>
          <t>Övriga Aktiebolag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36202-2025</t>
        </is>
      </c>
      <c r="B135" t="inlineStr">
        <is>
          <t>avverkningsanmälan</t>
        </is>
      </c>
      <c r="C135" t="inlineStr">
        <is>
          <t>Avverkning för att bevara och utveckla /försöksver</t>
        </is>
      </c>
      <c r="D135" s="1" t="n">
        <v>45867</v>
      </c>
      <c r="E135" s="1" t="n">
        <v>46282</v>
      </c>
      <c r="F135" t="inlineStr">
        <is>
          <t>ÖSTERGÖTLANDS LÄN</t>
        </is>
      </c>
      <c r="G135" t="inlineStr">
        <is>
          <t>BOXHOLM</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36433-2025</t>
        </is>
      </c>
      <c r="B136" t="inlineStr">
        <is>
          <t>avverkningsanmälan</t>
        </is>
      </c>
      <c r="C136" t="inlineStr">
        <is>
          <t>Avverkning för att bevara och utveckla /försöksver</t>
        </is>
      </c>
      <c r="D136" s="1" t="n">
        <v>45869</v>
      </c>
      <c r="E136" s="1" t="n">
        <v>46282</v>
      </c>
      <c r="F136" t="inlineStr">
        <is>
          <t>ÖSTERGÖTLANDS LÄN</t>
        </is>
      </c>
      <c r="G136" t="inlineStr">
        <is>
          <t>BOXHOLM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4005-2026</t>
        </is>
      </c>
      <c r="B137" t="inlineStr">
        <is>
          <t>avverkningsanmälan</t>
        </is>
      </c>
      <c r="C137" t="inlineStr">
        <is>
          <t>Föryngringsavverkning</t>
        </is>
      </c>
      <c r="D137" s="1" t="n">
        <v>46044</v>
      </c>
      <c r="E137" s="1" t="n">
        <v>46282</v>
      </c>
      <c r="F137" t="inlineStr">
        <is>
          <t>ÖSTERGÖTLANDS LÄN</t>
        </is>
      </c>
      <c r="G137" t="inlineStr">
        <is>
          <t>BOXHOLM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51359-2024</t>
        </is>
      </c>
      <c r="B138" t="inlineStr">
        <is>
          <t>avverkningsanmälan</t>
        </is>
      </c>
      <c r="C138" t="inlineStr">
        <is>
          <t>Föryngringsavverkning</t>
        </is>
      </c>
      <c r="D138" s="1" t="n">
        <v>45604</v>
      </c>
      <c r="E138" s="1" t="n">
        <v>46282</v>
      </c>
      <c r="F138" t="inlineStr">
        <is>
          <t>ÖSTERGÖTLANDS LÄN</t>
        </is>
      </c>
      <c r="G138" t="inlineStr">
        <is>
          <t>BOXHOLM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50082-2025</t>
        </is>
      </c>
      <c r="B139" t="inlineStr">
        <is>
          <t>avverkningsanmälan</t>
        </is>
      </c>
      <c r="C139" t="inlineStr">
        <is>
          <t>Avverkning för att bevara och utveckla /försöksver</t>
        </is>
      </c>
      <c r="D139" s="1" t="n">
        <v>45943</v>
      </c>
      <c r="E139" s="1" t="n">
        <v>46282</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50164-2025</t>
        </is>
      </c>
      <c r="B140" t="inlineStr">
        <is>
          <t>avverkningsanmälan</t>
        </is>
      </c>
      <c r="C140" t="inlineStr">
        <is>
          <t>Föryngringsavverkning</t>
        </is>
      </c>
      <c r="D140" s="1" t="n">
        <v>45943</v>
      </c>
      <c r="E140" s="1" t="n">
        <v>46282</v>
      </c>
      <c r="F140" t="inlineStr">
        <is>
          <t>ÖSTERGÖTLANDS LÄN</t>
        </is>
      </c>
      <c r="G140" t="inlineStr">
        <is>
          <t>BOXHOLM</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23857-2023</t>
        </is>
      </c>
      <c r="B141" t="inlineStr">
        <is>
          <t>avverkningsanmälan</t>
        </is>
      </c>
      <c r="C141" t="inlineStr">
        <is>
          <t>Föryngringsavverkning</t>
        </is>
      </c>
      <c r="D141" s="1" t="n">
        <v>45078</v>
      </c>
      <c r="E141" s="1" t="n">
        <v>46282</v>
      </c>
      <c r="F141" t="inlineStr">
        <is>
          <t>ÖSTERGÖTLANDS LÄN</t>
        </is>
      </c>
      <c r="G141" t="inlineStr">
        <is>
          <t>BOXHOLM</t>
        </is>
      </c>
      <c r="H141" t="inlineStr">
        <is>
          <t>Övriga Aktiebolag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50019-2025</t>
        </is>
      </c>
      <c r="B142" t="inlineStr">
        <is>
          <t>avverkningsanmälan</t>
        </is>
      </c>
      <c r="C142" t="inlineStr">
        <is>
          <t>Föryngringsavverkning</t>
        </is>
      </c>
      <c r="D142" s="1" t="n">
        <v>45943</v>
      </c>
      <c r="E142" s="1" t="n">
        <v>46282</v>
      </c>
      <c r="F142" t="inlineStr">
        <is>
          <t>ÖSTERGÖTLANDS LÄN</t>
        </is>
      </c>
      <c r="G142" t="inlineStr">
        <is>
          <t>BOXHOLM</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50095-2025</t>
        </is>
      </c>
      <c r="B143" t="inlineStr">
        <is>
          <t>avverkningsanmälan</t>
        </is>
      </c>
      <c r="C143" t="inlineStr">
        <is>
          <t>Föryngringsavverkning</t>
        </is>
      </c>
      <c r="D143" s="1" t="n">
        <v>45943</v>
      </c>
      <c r="E143" s="1" t="n">
        <v>46282</v>
      </c>
      <c r="F143" t="inlineStr">
        <is>
          <t>ÖSTERGÖTLANDS LÄN</t>
        </is>
      </c>
      <c r="G143" t="inlineStr">
        <is>
          <t>BOXHOLM</t>
        </is>
      </c>
      <c r="H143" t="inlineStr">
        <is>
          <t>Övriga Aktiebolag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50612-2025</t>
        </is>
      </c>
      <c r="B144" t="inlineStr">
        <is>
          <t>avverkningsanmälan</t>
        </is>
      </c>
      <c r="C144" t="inlineStr">
        <is>
          <t>Föryngringsavverkning</t>
        </is>
      </c>
      <c r="D144" s="1" t="n">
        <v>45945</v>
      </c>
      <c r="E144" s="1" t="n">
        <v>46282</v>
      </c>
      <c r="F144" t="inlineStr">
        <is>
          <t>ÖSTERGÖTLANDS LÄN</t>
        </is>
      </c>
      <c r="G144" t="inlineStr">
        <is>
          <t>BOXHOLM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35762-2025</t>
        </is>
      </c>
      <c r="B145" t="inlineStr">
        <is>
          <t>avverkningsanmälan</t>
        </is>
      </c>
      <c r="C145" t="inlineStr">
        <is>
          <t>Föryngringsavverkning</t>
        </is>
      </c>
      <c r="D145" s="1" t="n">
        <v>45860</v>
      </c>
      <c r="E145" s="1" t="n">
        <v>46282</v>
      </c>
      <c r="F145" t="inlineStr">
        <is>
          <t>ÖSTERGÖTLANDS LÄN</t>
        </is>
      </c>
      <c r="G145" t="inlineStr">
        <is>
          <t>BOXHOLM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35764-2025</t>
        </is>
      </c>
      <c r="B146" t="inlineStr">
        <is>
          <t>avverkningsanmälan</t>
        </is>
      </c>
      <c r="C146" t="inlineStr">
        <is>
          <t>Föryngringsavverkning</t>
        </is>
      </c>
      <c r="D146" s="1" t="n">
        <v>45860</v>
      </c>
      <c r="E146" s="1" t="n">
        <v>46282</v>
      </c>
      <c r="F146" t="inlineStr">
        <is>
          <t>ÖSTERGÖTLANDS LÄN</t>
        </is>
      </c>
      <c r="G146" t="inlineStr">
        <is>
          <t>BOXHOLM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35763-2025</t>
        </is>
      </c>
      <c r="B147" t="inlineStr">
        <is>
          <t>avverkningsanmälan</t>
        </is>
      </c>
      <c r="C147" t="inlineStr">
        <is>
          <t>Föryngringsavverkning</t>
        </is>
      </c>
      <c r="D147" s="1" t="n">
        <v>45860</v>
      </c>
      <c r="E147" s="1" t="n">
        <v>46282</v>
      </c>
      <c r="F147" t="inlineStr">
        <is>
          <t>ÖSTERGÖTLANDS LÄN</t>
        </is>
      </c>
      <c r="G147" t="inlineStr">
        <is>
          <t>BOXHOLM</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51091-2025</t>
        </is>
      </c>
      <c r="B148" t="inlineStr">
        <is>
          <t>avverkningsanmälan</t>
        </is>
      </c>
      <c r="C148" t="inlineStr">
        <is>
          <t>Föryngringsavverkning</t>
        </is>
      </c>
      <c r="D148" s="1" t="n">
        <v>45947</v>
      </c>
      <c r="E148" s="1" t="n">
        <v>46282</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25944-2024</t>
        </is>
      </c>
      <c r="B149" t="inlineStr">
        <is>
          <t>avverkningsanmälan</t>
        </is>
      </c>
      <c r="C149" t="inlineStr">
        <is>
          <t>Föryngringsavverkning</t>
        </is>
      </c>
      <c r="D149" s="1" t="n">
        <v>45467</v>
      </c>
      <c r="E149" s="1" t="n">
        <v>46282</v>
      </c>
      <c r="F149" t="inlineStr">
        <is>
          <t>ÖSTERGÖTLANDS LÄN</t>
        </is>
      </c>
      <c r="G149" t="inlineStr">
        <is>
          <t>BOXHOLM</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52551-2025</t>
        </is>
      </c>
      <c r="B150" t="inlineStr">
        <is>
          <t>avverkningsanmälan</t>
        </is>
      </c>
      <c r="C150" t="inlineStr">
        <is>
          <t>Avverkning för att bevara och utveckla /försöksver</t>
        </is>
      </c>
      <c r="D150" s="1" t="n">
        <v>45954</v>
      </c>
      <c r="E150" s="1" t="n">
        <v>46282</v>
      </c>
      <c r="F150" t="inlineStr">
        <is>
          <t>ÖSTERGÖTLANDS LÄN</t>
        </is>
      </c>
      <c r="G150" t="inlineStr">
        <is>
          <t>BOXHOLM</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52514-2025</t>
        </is>
      </c>
      <c r="B151" t="inlineStr">
        <is>
          <t>avverkningsanmälan</t>
        </is>
      </c>
      <c r="C151" t="inlineStr">
        <is>
          <t>Föryngringsavverkning</t>
        </is>
      </c>
      <c r="D151" s="1" t="n">
        <v>45954</v>
      </c>
      <c r="E151" s="1" t="n">
        <v>46282</v>
      </c>
      <c r="F151" t="inlineStr">
        <is>
          <t>ÖSTERGÖTLANDS LÄN</t>
        </is>
      </c>
      <c r="G151" t="inlineStr">
        <is>
          <t>BOXHOLM</t>
        </is>
      </c>
      <c r="H151" t="inlineStr">
        <is>
          <t>Övriga Aktiebolag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12734-2025</t>
        </is>
      </c>
      <c r="B152" t="inlineStr">
        <is>
          <t>avverkningsanmälan</t>
        </is>
      </c>
      <c r="C152" t="inlineStr">
        <is>
          <t>Föryngringsavverkning</t>
        </is>
      </c>
      <c r="D152" s="1" t="n">
        <v>45733</v>
      </c>
      <c r="E152" s="1" t="n">
        <v>46282</v>
      </c>
      <c r="F152" t="inlineStr">
        <is>
          <t>ÖSTERGÖTLANDS LÄN</t>
        </is>
      </c>
      <c r="G152" t="inlineStr">
        <is>
          <t>BOXHOLM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39029-2023</t>
        </is>
      </c>
      <c r="B153" t="inlineStr">
        <is>
          <t>avverkningsanmälan</t>
        </is>
      </c>
      <c r="C153" t="inlineStr">
        <is>
          <t>Föryngringsavverkning</t>
        </is>
      </c>
      <c r="D153" s="1" t="n">
        <v>45163</v>
      </c>
      <c r="E153" s="1" t="n">
        <v>46282</v>
      </c>
      <c r="F153" t="inlineStr">
        <is>
          <t>ÖSTERGÖTLANDS LÄN</t>
        </is>
      </c>
      <c r="G153" t="inlineStr">
        <is>
          <t>BOXHOLM</t>
        </is>
      </c>
      <c r="H153" t="inlineStr">
        <is>
          <t>Allmännings- och besparingsskogar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37551-2025</t>
        </is>
      </c>
      <c r="B154" t="inlineStr">
        <is>
          <t>avverkningsanmälan</t>
        </is>
      </c>
      <c r="C154" t="inlineStr">
        <is>
          <t>Föryngringsavverkning</t>
        </is>
      </c>
      <c r="D154" s="1" t="n">
        <v>45880</v>
      </c>
      <c r="E154" s="1" t="n">
        <v>46282</v>
      </c>
      <c r="F154" t="inlineStr">
        <is>
          <t>ÖSTERGÖTLANDS LÄN</t>
        </is>
      </c>
      <c r="G154" t="inlineStr">
        <is>
          <t>BOXHOLM</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37477-2025</t>
        </is>
      </c>
      <c r="B155" t="inlineStr">
        <is>
          <t>avverkningsanmälan</t>
        </is>
      </c>
      <c r="C155" t="inlineStr">
        <is>
          <t>Avverkning för att bevara och utveckla /försöksver</t>
        </is>
      </c>
      <c r="D155" s="1" t="n">
        <v>45877</v>
      </c>
      <c r="E155" s="1" t="n">
        <v>46282</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37474-2025</t>
        </is>
      </c>
      <c r="B156" t="inlineStr">
        <is>
          <t>avverkningsanmälan</t>
        </is>
      </c>
      <c r="C156" t="inlineStr">
        <is>
          <t>Föryngringsavverkning</t>
        </is>
      </c>
      <c r="D156" s="1" t="n">
        <v>45877</v>
      </c>
      <c r="E156" s="1" t="n">
        <v>46282</v>
      </c>
      <c r="F156" t="inlineStr">
        <is>
          <t>ÖSTERGÖTLANDS LÄN</t>
        </is>
      </c>
      <c r="G156" t="inlineStr">
        <is>
          <t>BOXHOLM</t>
        </is>
      </c>
      <c r="H156" t="inlineStr">
        <is>
          <t>Övriga Aktiebolag</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54530-2025</t>
        </is>
      </c>
      <c r="B157" t="inlineStr">
        <is>
          <t>avverkningsanmälan</t>
        </is>
      </c>
      <c r="C157" t="inlineStr">
        <is>
          <t>Föryngringsavverkning</t>
        </is>
      </c>
      <c r="D157" s="1" t="n">
        <v>45965</v>
      </c>
      <c r="E157" s="1" t="n">
        <v>46282</v>
      </c>
      <c r="F157" t="inlineStr">
        <is>
          <t>ÖSTERGÖTLANDS LÄN</t>
        </is>
      </c>
      <c r="G157" t="inlineStr">
        <is>
          <t>BOXHOLM</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54521-2025</t>
        </is>
      </c>
      <c r="B158" t="inlineStr">
        <is>
          <t>avverkningsanmälan</t>
        </is>
      </c>
      <c r="C158" t="inlineStr">
        <is>
          <t>Föryngringsavverkning</t>
        </is>
      </c>
      <c r="D158" s="1" t="n">
        <v>45965</v>
      </c>
      <c r="E158" s="1" t="n">
        <v>46282</v>
      </c>
      <c r="F158" t="inlineStr">
        <is>
          <t>ÖSTERGÖTLANDS LÄN</t>
        </is>
      </c>
      <c r="G158" t="inlineStr">
        <is>
          <t>BOXHOLM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54547-2025</t>
        </is>
      </c>
      <c r="B159" t="inlineStr">
        <is>
          <t>avverkningsanmälan</t>
        </is>
      </c>
      <c r="C159" t="inlineStr">
        <is>
          <t>Föryngringsavverkning</t>
        </is>
      </c>
      <c r="D159" s="1" t="n">
        <v>45965</v>
      </c>
      <c r="E159" s="1" t="n">
        <v>46282</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54540-2025</t>
        </is>
      </c>
      <c r="B160" t="inlineStr">
        <is>
          <t>avverkningsanmälan</t>
        </is>
      </c>
      <c r="C160" t="inlineStr">
        <is>
          <t>Föryngringsavverkning</t>
        </is>
      </c>
      <c r="D160" s="1" t="n">
        <v>45965</v>
      </c>
      <c r="E160" s="1" t="n">
        <v>46282</v>
      </c>
      <c r="F160" t="inlineStr">
        <is>
          <t>ÖSTERGÖTLANDS LÄN</t>
        </is>
      </c>
      <c r="G160" t="inlineStr">
        <is>
          <t>BOXHOLM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43471-2022</t>
        </is>
      </c>
      <c r="B161" t="inlineStr">
        <is>
          <t>avverkningsanmälan</t>
        </is>
      </c>
      <c r="C161" t="inlineStr">
        <is>
          <t>Föryngringsavverkning</t>
        </is>
      </c>
      <c r="D161" s="1" t="n">
        <v>44836</v>
      </c>
      <c r="E161" s="1" t="n">
        <v>46282</v>
      </c>
      <c r="F161" t="inlineStr">
        <is>
          <t>ÖSTERGÖTLANDS LÄN</t>
        </is>
      </c>
      <c r="G161" t="inlineStr">
        <is>
          <t>BOXHOLM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8948-2026</t>
        </is>
      </c>
      <c r="B162" t="inlineStr">
        <is>
          <t>avverkningsanmälan</t>
        </is>
      </c>
      <c r="C162" t="inlineStr">
        <is>
          <t>Föryngringsavverkning</t>
        </is>
      </c>
      <c r="D162" s="1" t="n">
        <v>46069</v>
      </c>
      <c r="E162" s="1" t="n">
        <v>46282</v>
      </c>
      <c r="F162" t="inlineStr">
        <is>
          <t>ÖSTERGÖTLANDS LÄN</t>
        </is>
      </c>
      <c r="G162" t="inlineStr">
        <is>
          <t>BOXHOLM</t>
        </is>
      </c>
      <c r="H162" t="inlineStr">
        <is>
          <t>Övriga Aktiebolag</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9422-2026</t>
        </is>
      </c>
      <c r="B163" t="inlineStr">
        <is>
          <t>avverkningsanmälan</t>
        </is>
      </c>
      <c r="C163" t="inlineStr">
        <is>
          <t>Föryngringsavverkning</t>
        </is>
      </c>
      <c r="D163" s="1" t="n">
        <v>46071</v>
      </c>
      <c r="E163" s="1" t="n">
        <v>46282</v>
      </c>
      <c r="F163" t="inlineStr">
        <is>
          <t>ÖSTERGÖTLANDS LÄN</t>
        </is>
      </c>
      <c r="G163" t="inlineStr">
        <is>
          <t>BOXHOLM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57606-2025</t>
        </is>
      </c>
      <c r="B164" t="inlineStr">
        <is>
          <t>avverkningsanmälan</t>
        </is>
      </c>
      <c r="C164" t="inlineStr">
        <is>
          <t>Föryngringsavverkning</t>
        </is>
      </c>
      <c r="D164" s="1" t="n">
        <v>45981</v>
      </c>
      <c r="E164" s="1" t="n">
        <v>46282</v>
      </c>
      <c r="F164" t="inlineStr">
        <is>
          <t>ÖSTERGÖTLANDS LÄN</t>
        </is>
      </c>
      <c r="G164" t="inlineStr">
        <is>
          <t>BOXHOLM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40290-2024</t>
        </is>
      </c>
      <c r="B165" t="inlineStr">
        <is>
          <t>avverkningsanmälan</t>
        </is>
      </c>
      <c r="C165" t="inlineStr">
        <is>
          <t>Föryngringsavverkning</t>
        </is>
      </c>
      <c r="D165" s="1" t="n">
        <v>45554</v>
      </c>
      <c r="E165" s="1" t="n">
        <v>46282</v>
      </c>
      <c r="F165" t="inlineStr">
        <is>
          <t>ÖSTERGÖTLANDS LÄN</t>
        </is>
      </c>
      <c r="G165" t="inlineStr">
        <is>
          <t>BOXHOLM</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37400-2023</t>
        </is>
      </c>
      <c r="B166" t="inlineStr">
        <is>
          <t>avverkningsanmälan</t>
        </is>
      </c>
      <c r="C166" t="inlineStr">
        <is>
          <t>Föryngringsavverkning</t>
        </is>
      </c>
      <c r="D166" s="1" t="n">
        <v>45156</v>
      </c>
      <c r="E166" s="1" t="n">
        <v>46282</v>
      </c>
      <c r="F166" t="inlineStr">
        <is>
          <t>ÖSTERGÖTLANDS LÄN</t>
        </is>
      </c>
      <c r="G166" t="inlineStr">
        <is>
          <t>BOXHOLM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3129-2025</t>
        </is>
      </c>
      <c r="B167" t="inlineStr">
        <is>
          <t>avverkningsanmälan</t>
        </is>
      </c>
      <c r="C167" t="inlineStr">
        <is>
          <t>Föryngringsavverkning</t>
        </is>
      </c>
      <c r="D167" s="1" t="n">
        <v>45678</v>
      </c>
      <c r="E167" s="1" t="n">
        <v>46282</v>
      </c>
      <c r="F167" t="inlineStr">
        <is>
          <t>ÖSTERGÖTLANDS LÄN</t>
        </is>
      </c>
      <c r="G167" t="inlineStr">
        <is>
          <t>BOXHOLM</t>
        </is>
      </c>
      <c r="H167" t="inlineStr">
        <is>
          <t>Allmännings- och besparingsskogar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19601-2023</t>
        </is>
      </c>
      <c r="B168" t="inlineStr">
        <is>
          <t>avverkningsanmälan</t>
        </is>
      </c>
      <c r="C168" t="inlineStr">
        <is>
          <t>Föryngringsavverkning</t>
        </is>
      </c>
      <c r="D168" s="1" t="n">
        <v>45050</v>
      </c>
      <c r="E168" s="1" t="n">
        <v>46282</v>
      </c>
      <c r="F168" t="inlineStr">
        <is>
          <t>ÖSTERGÖTLANDS LÄN</t>
        </is>
      </c>
      <c r="G168" t="inlineStr">
        <is>
          <t>BOXHOLM</t>
        </is>
      </c>
      <c r="I168" t="n">
        <v>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58760-2025</t>
        </is>
      </c>
      <c r="B169" t="inlineStr">
        <is>
          <t>avverkningsanmälan</t>
        </is>
      </c>
      <c r="C169" t="inlineStr">
        <is>
          <t>Avverkning för att bevara och utveckla /försöksver</t>
        </is>
      </c>
      <c r="D169" s="1" t="n">
        <v>45986</v>
      </c>
      <c r="E169" s="1" t="n">
        <v>46282</v>
      </c>
      <c r="F169" t="inlineStr">
        <is>
          <t>ÖSTERGÖTLANDS LÄN</t>
        </is>
      </c>
      <c r="G169" t="inlineStr">
        <is>
          <t>BOXHOLM</t>
        </is>
      </c>
      <c r="H169" t="inlineStr">
        <is>
          <t>Övriga Aktiebolag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58763-2025</t>
        </is>
      </c>
      <c r="B170" t="inlineStr">
        <is>
          <t>avverkningsanmälan</t>
        </is>
      </c>
      <c r="C170" t="inlineStr">
        <is>
          <t>Avverkning för att bevara och utveckla /försöksver</t>
        </is>
      </c>
      <c r="D170" s="1" t="n">
        <v>45986</v>
      </c>
      <c r="E170" s="1" t="n">
        <v>46282</v>
      </c>
      <c r="F170" t="inlineStr">
        <is>
          <t>ÖSTERGÖTLANDS LÄN</t>
        </is>
      </c>
      <c r="G170" t="inlineStr">
        <is>
          <t>BOXHOLM</t>
        </is>
      </c>
      <c r="H170" t="inlineStr">
        <is>
          <t>Övriga Aktiebolag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59485-2025</t>
        </is>
      </c>
      <c r="B171" t="inlineStr">
        <is>
          <t>avverkningsanmälan</t>
        </is>
      </c>
      <c r="C171" t="inlineStr">
        <is>
          <t>Föryngringsavverkning</t>
        </is>
      </c>
      <c r="D171" s="1" t="n">
        <v>45989</v>
      </c>
      <c r="E171" s="1" t="n">
        <v>46282</v>
      </c>
      <c r="F171" t="inlineStr">
        <is>
          <t>ÖSTERGÖTLANDS LÄN</t>
        </is>
      </c>
      <c r="G171" t="inlineStr">
        <is>
          <t>BOXHOLM</t>
        </is>
      </c>
      <c r="H171" t="inlineStr">
        <is>
          <t>Övriga Aktiebolag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59490-2025</t>
        </is>
      </c>
      <c r="B172" t="inlineStr">
        <is>
          <t>avverkningsanmälan</t>
        </is>
      </c>
      <c r="C172" t="inlineStr">
        <is>
          <t>Föryngringsavverkning</t>
        </is>
      </c>
      <c r="D172" s="1" t="n">
        <v>45989</v>
      </c>
      <c r="E172" s="1" t="n">
        <v>46282</v>
      </c>
      <c r="F172" t="inlineStr">
        <is>
          <t>ÖSTERGÖTLANDS LÄN</t>
        </is>
      </c>
      <c r="G172" t="inlineStr">
        <is>
          <t>BOXHOLM</t>
        </is>
      </c>
      <c r="H172" t="inlineStr">
        <is>
          <t>Övriga Aktiebolag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32089-2024</t>
        </is>
      </c>
      <c r="B173" t="inlineStr">
        <is>
          <t>avverkningsanmälan</t>
        </is>
      </c>
      <c r="C173" t="inlineStr">
        <is>
          <t>Föryngringsavverkning</t>
        </is>
      </c>
      <c r="D173" s="1" t="n">
        <v>45511</v>
      </c>
      <c r="E173" s="1" t="n">
        <v>46282</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11304-2026</t>
        </is>
      </c>
      <c r="B174" t="inlineStr">
        <is>
          <t>avverkningsanmälan</t>
        </is>
      </c>
      <c r="C174" t="inlineStr">
        <is>
          <t>Föryngringsavverkning</t>
        </is>
      </c>
      <c r="D174" s="1" t="n">
        <v>46080</v>
      </c>
      <c r="E174" s="1" t="n">
        <v>46282</v>
      </c>
      <c r="F174" t="inlineStr">
        <is>
          <t>ÖSTERGÖTLANDS LÄN</t>
        </is>
      </c>
      <c r="G174" t="inlineStr">
        <is>
          <t>BOXHOLM</t>
        </is>
      </c>
      <c r="H174" t="inlineStr">
        <is>
          <t>Allmännings- och besparingsskogar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1666-2025</t>
        </is>
      </c>
      <c r="B175" t="inlineStr">
        <is>
          <t>avverkningsanmälan</t>
        </is>
      </c>
      <c r="C175" t="inlineStr">
        <is>
          <t>Föryngringsavverkning</t>
        </is>
      </c>
      <c r="D175" s="1" t="n">
        <v>45670</v>
      </c>
      <c r="E175" s="1" t="n">
        <v>46282</v>
      </c>
      <c r="F175" t="inlineStr">
        <is>
          <t>ÖSTERGÖTLANDS LÄN</t>
        </is>
      </c>
      <c r="G175" t="inlineStr">
        <is>
          <t>BOXHOLM</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60521-2025</t>
        </is>
      </c>
      <c r="B176" t="inlineStr">
        <is>
          <t>avverkningsanmälan</t>
        </is>
      </c>
      <c r="C176" t="inlineStr">
        <is>
          <t>Föryngringsavverkning</t>
        </is>
      </c>
      <c r="D176" s="1" t="n">
        <v>45995</v>
      </c>
      <c r="E176" s="1" t="n">
        <v>46282</v>
      </c>
      <c r="F176" t="inlineStr">
        <is>
          <t>ÖSTERGÖTLANDS LÄN</t>
        </is>
      </c>
      <c r="G176" t="inlineStr">
        <is>
          <t>BOXHOLM</t>
        </is>
      </c>
      <c r="H176" t="inlineStr">
        <is>
          <t>Allmännings- och besparingsskogar</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60638-2025</t>
        </is>
      </c>
      <c r="B177" t="inlineStr">
        <is>
          <t>avverkningsanmälan</t>
        </is>
      </c>
      <c r="C177" t="inlineStr">
        <is>
          <t>Avverkning för att bevara och utveckla /försöksver</t>
        </is>
      </c>
      <c r="D177" s="1" t="n">
        <v>45996</v>
      </c>
      <c r="E177" s="1" t="n">
        <v>46282</v>
      </c>
      <c r="F177" t="inlineStr">
        <is>
          <t>ÖSTERGÖTLANDS LÄN</t>
        </is>
      </c>
      <c r="G177" t="inlineStr">
        <is>
          <t>BOXHOLM</t>
        </is>
      </c>
      <c r="H177" t="inlineStr">
        <is>
          <t>Övriga Aktiebolag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53356-2024</t>
        </is>
      </c>
      <c r="B178" t="inlineStr">
        <is>
          <t>avverkningsanmälan</t>
        </is>
      </c>
      <c r="C178" t="inlineStr">
        <is>
          <t>Föryngringsavverkning</t>
        </is>
      </c>
      <c r="D178" s="1" t="n">
        <v>45614</v>
      </c>
      <c r="E178" s="1" t="n">
        <v>46282</v>
      </c>
      <c r="F178" t="inlineStr">
        <is>
          <t>ÖSTERGÖTLANDS LÄN</t>
        </is>
      </c>
      <c r="G178" t="inlineStr">
        <is>
          <t>BOXHOLM</t>
        </is>
      </c>
      <c r="H178" t="inlineStr">
        <is>
          <t>Övriga Aktiebolag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61961-2025</t>
        </is>
      </c>
      <c r="B179" t="inlineStr">
        <is>
          <t>avverkningsanmälan</t>
        </is>
      </c>
      <c r="C179" t="inlineStr">
        <is>
          <t>Föryngringsavverkning</t>
        </is>
      </c>
      <c r="D179" s="1" t="n">
        <v>46003</v>
      </c>
      <c r="E179" s="1" t="n">
        <v>46282</v>
      </c>
      <c r="F179" t="inlineStr">
        <is>
          <t>ÖSTERGÖTLANDS LÄN</t>
        </is>
      </c>
      <c r="G179" t="inlineStr">
        <is>
          <t>BOXHOLM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61966-2025</t>
        </is>
      </c>
      <c r="B180" t="inlineStr">
        <is>
          <t>avverkningsanmälan</t>
        </is>
      </c>
      <c r="C180" t="inlineStr">
        <is>
          <t>Föryngringsavverkning</t>
        </is>
      </c>
      <c r="D180" s="1" t="n">
        <v>46003</v>
      </c>
      <c r="E180" s="1" t="n">
        <v>46282</v>
      </c>
      <c r="F180" t="inlineStr">
        <is>
          <t>ÖSTERGÖTLANDS LÄN</t>
        </is>
      </c>
      <c r="G180" t="inlineStr">
        <is>
          <t>BOXHOLM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49990-2021</t>
        </is>
      </c>
      <c r="B181" t="inlineStr">
        <is>
          <t>avverkningsanmälan</t>
        </is>
      </c>
      <c r="C181" t="inlineStr">
        <is>
          <t>Föryngringsavverkning</t>
        </is>
      </c>
      <c r="D181" s="1" t="n">
        <v>44456</v>
      </c>
      <c r="E181" s="1" t="n">
        <v>46282</v>
      </c>
      <c r="F181" t="inlineStr">
        <is>
          <t>ÖSTERGÖTLANDS LÄN</t>
        </is>
      </c>
      <c r="G181" t="inlineStr">
        <is>
          <t>BOXHOLM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62776-2025</t>
        </is>
      </c>
      <c r="B182" t="inlineStr">
        <is>
          <t>avverkningsanmälan</t>
        </is>
      </c>
      <c r="C182" t="inlineStr">
        <is>
          <t>Avverkning för att bevara och utveckla /försöksver</t>
        </is>
      </c>
      <c r="D182" s="1" t="n">
        <v>46008</v>
      </c>
      <c r="E182" s="1" t="n">
        <v>46282</v>
      </c>
      <c r="F182" t="inlineStr">
        <is>
          <t>ÖSTERGÖTLANDS LÄN</t>
        </is>
      </c>
      <c r="G182" t="inlineStr">
        <is>
          <t>BOXHOLM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62796-2025</t>
        </is>
      </c>
      <c r="B183" t="inlineStr">
        <is>
          <t>avverkningsanmälan</t>
        </is>
      </c>
      <c r="C183" t="inlineStr">
        <is>
          <t>Avverkning för att bevara och utveckla /försöksver</t>
        </is>
      </c>
      <c r="D183" s="1" t="n">
        <v>46008</v>
      </c>
      <c r="E183" s="1" t="n">
        <v>46282</v>
      </c>
      <c r="F183" t="inlineStr">
        <is>
          <t>ÖSTERGÖTLANDS LÄN</t>
        </is>
      </c>
      <c r="G183" t="inlineStr">
        <is>
          <t>BOXHOLM</t>
        </is>
      </c>
      <c r="H183" t="inlineStr">
        <is>
          <t>Övriga Aktiebolag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43824-2023</t>
        </is>
      </c>
      <c r="B184" t="inlineStr">
        <is>
          <t>avverkningsanmälan</t>
        </is>
      </c>
      <c r="C184" t="inlineStr">
        <is>
          <t>Föryngringsavverkning</t>
        </is>
      </c>
      <c r="D184" s="1" t="n">
        <v>45187</v>
      </c>
      <c r="E184" s="1" t="n">
        <v>46282</v>
      </c>
      <c r="F184" t="inlineStr">
        <is>
          <t>ÖSTERGÖTLANDS LÄN</t>
        </is>
      </c>
      <c r="G184" t="inlineStr">
        <is>
          <t>BOXHOLM</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19356-2022</t>
        </is>
      </c>
      <c r="B185" t="inlineStr">
        <is>
          <t>avverkningsanmälan</t>
        </is>
      </c>
      <c r="C185" t="inlineStr">
        <is>
          <t>Föryngringsavverkning</t>
        </is>
      </c>
      <c r="D185" s="1" t="n">
        <v>44692</v>
      </c>
      <c r="E185" s="1" t="n">
        <v>46282</v>
      </c>
      <c r="F185" t="inlineStr">
        <is>
          <t>ÖSTERGÖTLANDS LÄN</t>
        </is>
      </c>
      <c r="G185" t="inlineStr">
        <is>
          <t>BOXHOLM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56125-2025</t>
        </is>
      </c>
      <c r="B186" t="inlineStr">
        <is>
          <t>avverkningsanmälan</t>
        </is>
      </c>
      <c r="C186" t="inlineStr">
        <is>
          <t>Föryngringsavverkning</t>
        </is>
      </c>
      <c r="D186" s="1" t="n">
        <v>45973</v>
      </c>
      <c r="E186" s="1" t="n">
        <v>46282</v>
      </c>
      <c r="F186" t="inlineStr">
        <is>
          <t>ÖSTERGÖTLANDS LÄN</t>
        </is>
      </c>
      <c r="G186" t="inlineStr">
        <is>
          <t>BOXHOLM</t>
        </is>
      </c>
      <c r="H186" t="inlineStr">
        <is>
          <t>Övriga Aktiebolag</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62192-2022</t>
        </is>
      </c>
      <c r="B187" t="inlineStr">
        <is>
          <t>avverkningsanmälan</t>
        </is>
      </c>
      <c r="C187" t="inlineStr">
        <is>
          <t>Föryngringsavverkning</t>
        </is>
      </c>
      <c r="D187" s="1" t="n">
        <v>44914</v>
      </c>
      <c r="E187" s="1" t="n">
        <v>46282</v>
      </c>
      <c r="F187" t="inlineStr">
        <is>
          <t>ÖSTERGÖTLANDS LÄN</t>
        </is>
      </c>
      <c r="G187" t="inlineStr">
        <is>
          <t>BOXHOLM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60790-2023</t>
        </is>
      </c>
      <c r="B188" t="inlineStr">
        <is>
          <t>avverkningsanmälan</t>
        </is>
      </c>
      <c r="C188" t="inlineStr">
        <is>
          <t>Föryngringsavverkning</t>
        </is>
      </c>
      <c r="D188" s="1" t="n">
        <v>45259</v>
      </c>
      <c r="E188" s="1" t="n">
        <v>46282</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36331-2022</t>
        </is>
      </c>
      <c r="B189" t="inlineStr">
        <is>
          <t>avverkningsanmälan</t>
        </is>
      </c>
      <c r="C189" t="inlineStr">
        <is>
          <t>Föryngringsavverkning</t>
        </is>
      </c>
      <c r="D189" s="1" t="n">
        <v>44803</v>
      </c>
      <c r="E189" s="1" t="n">
        <v>46282</v>
      </c>
      <c r="F189" t="inlineStr">
        <is>
          <t>ÖSTERGÖTLANDS LÄN</t>
        </is>
      </c>
      <c r="G189" t="inlineStr">
        <is>
          <t>BOXHOLM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14789-2026</t>
        </is>
      </c>
      <c r="B190" t="inlineStr">
        <is>
          <t>avverkningsanmälan</t>
        </is>
      </c>
      <c r="C190" t="inlineStr">
        <is>
          <t>Avverkning för att bevara och utveckla /försöksver</t>
        </is>
      </c>
      <c r="D190" s="1" t="n">
        <v>46101</v>
      </c>
      <c r="E190" s="1" t="n">
        <v>46282</v>
      </c>
      <c r="F190" t="inlineStr">
        <is>
          <t>ÖSTERGÖTLANDS LÄN</t>
        </is>
      </c>
      <c r="G190" t="inlineStr">
        <is>
          <t>BOXHOLM</t>
        </is>
      </c>
      <c r="H190" t="inlineStr">
        <is>
          <t>Övriga Aktiebolag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3569-2024</t>
        </is>
      </c>
      <c r="B191" t="inlineStr">
        <is>
          <t>avverkningsanmälan</t>
        </is>
      </c>
      <c r="C191" t="inlineStr">
        <is>
          <t>Föryngringsavverkning</t>
        </is>
      </c>
      <c r="D191" s="1" t="n">
        <v>45320</v>
      </c>
      <c r="E191" s="1" t="n">
        <v>46282</v>
      </c>
      <c r="F191" t="inlineStr">
        <is>
          <t>ÖSTERGÖTLANDS LÄN</t>
        </is>
      </c>
      <c r="G191" t="inlineStr">
        <is>
          <t>BOXHOLM</t>
        </is>
      </c>
      <c r="H191" t="inlineStr">
        <is>
          <t>Övriga Aktiebolag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1597-2023</t>
        </is>
      </c>
      <c r="B192" t="inlineStr">
        <is>
          <t>avverkningsanmälan</t>
        </is>
      </c>
      <c r="C192" t="inlineStr">
        <is>
          <t>Föryngringsavverkning</t>
        </is>
      </c>
      <c r="D192" s="1" t="n">
        <v>44937</v>
      </c>
      <c r="E192" s="1" t="n">
        <v>46282</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8843-2025</t>
        </is>
      </c>
      <c r="B193" t="inlineStr">
        <is>
          <t>avverkningsanmälan</t>
        </is>
      </c>
      <c r="C193" t="inlineStr">
        <is>
          <t>Avverkning för att bevara och utveckla /försöksver</t>
        </is>
      </c>
      <c r="D193" s="1" t="n">
        <v>45713</v>
      </c>
      <c r="E193" s="1" t="n">
        <v>46282</v>
      </c>
      <c r="F193" t="inlineStr">
        <is>
          <t>ÖSTERGÖTLANDS LÄN</t>
        </is>
      </c>
      <c r="G193" t="inlineStr">
        <is>
          <t>BOXHOLM</t>
        </is>
      </c>
      <c r="H193" t="inlineStr">
        <is>
          <t>Övriga Aktiebolag</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74128-2021</t>
        </is>
      </c>
      <c r="B194" t="inlineStr">
        <is>
          <t>avverkningsanmälan</t>
        </is>
      </c>
      <c r="C194" t="inlineStr">
        <is>
          <t>Föryngringsavverkning</t>
        </is>
      </c>
      <c r="D194" s="1" t="n">
        <v>44557</v>
      </c>
      <c r="E194" s="1" t="n">
        <v>46282</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17728-2025</t>
        </is>
      </c>
      <c r="B195" t="inlineStr">
        <is>
          <t>avverkningsanmälan</t>
        </is>
      </c>
      <c r="C195" t="inlineStr">
        <is>
          <t>Föryngringsavverkning</t>
        </is>
      </c>
      <c r="D195" s="1" t="n">
        <v>45758</v>
      </c>
      <c r="E195" s="1" t="n">
        <v>46282</v>
      </c>
      <c r="F195" t="inlineStr">
        <is>
          <t>ÖSTERGÖTLANDS LÄN</t>
        </is>
      </c>
      <c r="G195" t="inlineStr">
        <is>
          <t>BOXHOLM</t>
        </is>
      </c>
      <c r="H195" t="inlineStr">
        <is>
          <t>Övriga Aktiebolag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10250-2023</t>
        </is>
      </c>
      <c r="B196" t="inlineStr">
        <is>
          <t>avverkningsanmälan</t>
        </is>
      </c>
      <c r="C196" t="inlineStr">
        <is>
          <t>Föryngringsavverkning</t>
        </is>
      </c>
      <c r="D196" s="1" t="n">
        <v>44980</v>
      </c>
      <c r="E196" s="1" t="n">
        <v>46282</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15746-2023</t>
        </is>
      </c>
      <c r="B197" t="inlineStr">
        <is>
          <t>avverkningsanmälan</t>
        </is>
      </c>
      <c r="C197" t="inlineStr">
        <is>
          <t>Föryngringsavverkning</t>
        </is>
      </c>
      <c r="D197" s="1" t="n">
        <v>45021</v>
      </c>
      <c r="E197" s="1" t="n">
        <v>46282</v>
      </c>
      <c r="F197" t="inlineStr">
        <is>
          <t>ÖSTERGÖTLANDS LÄN</t>
        </is>
      </c>
      <c r="G197" t="inlineStr">
        <is>
          <t>BOXHOLM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36491-2023</t>
        </is>
      </c>
      <c r="B198" t="inlineStr">
        <is>
          <t>avverkningsanmälan</t>
        </is>
      </c>
      <c r="C198" t="inlineStr">
        <is>
          <t>Föryngringsavverkning</t>
        </is>
      </c>
      <c r="D198" s="1" t="n">
        <v>45152</v>
      </c>
      <c r="E198" s="1" t="n">
        <v>46282</v>
      </c>
      <c r="F198" t="inlineStr">
        <is>
          <t>ÖSTERGÖTLANDS LÄN</t>
        </is>
      </c>
      <c r="G198" t="inlineStr">
        <is>
          <t>BOXHOLM</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25127-2024</t>
        </is>
      </c>
      <c r="B199" t="inlineStr">
        <is>
          <t>avverkningsanmälan</t>
        </is>
      </c>
      <c r="C199" t="inlineStr">
        <is>
          <t>Avverkning för att bevara och utveckla /försöksver</t>
        </is>
      </c>
      <c r="D199" s="1" t="n">
        <v>45462</v>
      </c>
      <c r="E199" s="1" t="n">
        <v>46282</v>
      </c>
      <c r="F199" t="inlineStr">
        <is>
          <t>ÖSTERGÖTLANDS LÄN</t>
        </is>
      </c>
      <c r="G199" t="inlineStr">
        <is>
          <t>BOXHOLM</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9059-2023</t>
        </is>
      </c>
      <c r="B200" t="inlineStr">
        <is>
          <t>avverkningsanmälan</t>
        </is>
      </c>
      <c r="C200" t="inlineStr">
        <is>
          <t>Föryngringsavverkning</t>
        </is>
      </c>
      <c r="D200" s="1" t="n">
        <v>44979</v>
      </c>
      <c r="E200" s="1" t="n">
        <v>46282</v>
      </c>
      <c r="F200" t="inlineStr">
        <is>
          <t>ÖSTERGÖTLANDS LÄN</t>
        </is>
      </c>
      <c r="G200" t="inlineStr">
        <is>
          <t>BOXHOLM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13606-2024</t>
        </is>
      </c>
      <c r="B201" t="inlineStr">
        <is>
          <t>avverkningsanmälan</t>
        </is>
      </c>
      <c r="C201" t="inlineStr">
        <is>
          <t>Föryngringsavverkning</t>
        </is>
      </c>
      <c r="D201" s="1" t="n">
        <v>45390</v>
      </c>
      <c r="E201" s="1" t="n">
        <v>46282</v>
      </c>
      <c r="F201" t="inlineStr">
        <is>
          <t>ÖSTERGÖTLANDS LÄN</t>
        </is>
      </c>
      <c r="G201" t="inlineStr">
        <is>
          <t>BOXHOLM</t>
        </is>
      </c>
      <c r="H201" t="inlineStr">
        <is>
          <t>Övriga Aktiebolag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957-2024</t>
        </is>
      </c>
      <c r="B202" t="inlineStr">
        <is>
          <t>avverkningsanmälan</t>
        </is>
      </c>
      <c r="C202" t="inlineStr">
        <is>
          <t>Föryngringsavverkning</t>
        </is>
      </c>
      <c r="D202" s="1" t="n">
        <v>45301</v>
      </c>
      <c r="E202" s="1" t="n">
        <v>46282</v>
      </c>
      <c r="F202" t="inlineStr">
        <is>
          <t>ÖSTERGÖTLANDS LÄN</t>
        </is>
      </c>
      <c r="G202" t="inlineStr">
        <is>
          <t>BOXHOLM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7061-2024</t>
        </is>
      </c>
      <c r="B203" t="inlineStr">
        <is>
          <t>avverkningsanmälan</t>
        </is>
      </c>
      <c r="C203" t="inlineStr">
        <is>
          <t>Föryngringsavverkning</t>
        </is>
      </c>
      <c r="D203" s="1" t="n">
        <v>45343</v>
      </c>
      <c r="E203" s="1" t="n">
        <v>46282</v>
      </c>
      <c r="F203" t="inlineStr">
        <is>
          <t>ÖSTERGÖTLANDS LÄN</t>
        </is>
      </c>
      <c r="G203" t="inlineStr">
        <is>
          <t>BOXHOLM</t>
        </is>
      </c>
      <c r="H203" t="inlineStr">
        <is>
          <t>Allmännings- och besparingsskogar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54934-2022</t>
        </is>
      </c>
      <c r="B204" t="inlineStr">
        <is>
          <t>avverkningsanmälan</t>
        </is>
      </c>
      <c r="C204" t="inlineStr">
        <is>
          <t>Föryngringsavverkning</t>
        </is>
      </c>
      <c r="D204" s="1" t="n">
        <v>44886</v>
      </c>
      <c r="E204" s="1" t="n">
        <v>46282</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46237-2024</t>
        </is>
      </c>
      <c r="B205" t="inlineStr">
        <is>
          <t>avverkningsanmälan</t>
        </is>
      </c>
      <c r="C205" t="inlineStr">
        <is>
          <t>Föryngringsavverkning</t>
        </is>
      </c>
      <c r="D205" s="1" t="n">
        <v>45581</v>
      </c>
      <c r="E205" s="1" t="n">
        <v>46282</v>
      </c>
      <c r="F205" t="inlineStr">
        <is>
          <t>ÖSTERGÖTLANDS LÄN</t>
        </is>
      </c>
      <c r="G205" t="inlineStr">
        <is>
          <t>BOXHOLM</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16146-2023</t>
        </is>
      </c>
      <c r="B206" t="inlineStr">
        <is>
          <t>avverkningsanmälan</t>
        </is>
      </c>
      <c r="C206" t="inlineStr">
        <is>
          <t>Föryngringsavverkning</t>
        </is>
      </c>
      <c r="D206" s="1" t="n">
        <v>45027</v>
      </c>
      <c r="E206" s="1" t="n">
        <v>46282</v>
      </c>
      <c r="F206" t="inlineStr">
        <is>
          <t>ÖSTERGÖTLANDS LÄN</t>
        </is>
      </c>
      <c r="G206" t="inlineStr">
        <is>
          <t>BOXHOLM</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47333-2024</t>
        </is>
      </c>
      <c r="B207" t="inlineStr">
        <is>
          <t>avverkningsanmälan</t>
        </is>
      </c>
      <c r="C207" t="inlineStr">
        <is>
          <t>Föryngringsavverkning</t>
        </is>
      </c>
      <c r="D207" s="1" t="n">
        <v>45587</v>
      </c>
      <c r="E207" s="1" t="n">
        <v>46282</v>
      </c>
      <c r="F207" t="inlineStr">
        <is>
          <t>ÖSTERGÖTLANDS LÄN</t>
        </is>
      </c>
      <c r="G207" t="inlineStr">
        <is>
          <t>BOXHOLM</t>
        </is>
      </c>
      <c r="H207" t="inlineStr">
        <is>
          <t>Allmännings- och besparingsskogar</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49119-2025</t>
        </is>
      </c>
      <c r="B208" t="inlineStr">
        <is>
          <t>avverkningsanmälan</t>
        </is>
      </c>
      <c r="C208" t="inlineStr">
        <is>
          <t>Föryngringsavverkning</t>
        </is>
      </c>
      <c r="D208" s="1" t="n">
        <v>45937</v>
      </c>
      <c r="E208" s="1" t="n">
        <v>46282</v>
      </c>
      <c r="F208" t="inlineStr">
        <is>
          <t>ÖSTERGÖTLANDS LÄN</t>
        </is>
      </c>
      <c r="G208" t="inlineStr">
        <is>
          <t>BOXHOLM</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37578-2022</t>
        </is>
      </c>
      <c r="B209" t="inlineStr">
        <is>
          <t>avverkningsanmälan</t>
        </is>
      </c>
      <c r="C209" t="inlineStr">
        <is>
          <t>Föryngringsavverkning</t>
        </is>
      </c>
      <c r="D209" s="1" t="n">
        <v>44809</v>
      </c>
      <c r="E209" s="1" t="n">
        <v>46282</v>
      </c>
      <c r="F209" t="inlineStr">
        <is>
          <t>ÖSTERGÖTLANDS LÄN</t>
        </is>
      </c>
      <c r="G209" t="inlineStr">
        <is>
          <t>BOXHOLM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39035-2023</t>
        </is>
      </c>
      <c r="B210" t="inlineStr">
        <is>
          <t>avverkningsanmälan</t>
        </is>
      </c>
      <c r="C210" t="inlineStr">
        <is>
          <t>Föryngringsavverkning</t>
        </is>
      </c>
      <c r="D210" s="1" t="n">
        <v>45163</v>
      </c>
      <c r="E210" s="1" t="n">
        <v>46282</v>
      </c>
      <c r="F210" t="inlineStr">
        <is>
          <t>ÖSTERGÖTLANDS LÄN</t>
        </is>
      </c>
      <c r="G210" t="inlineStr">
        <is>
          <t>BOXHOLM</t>
        </is>
      </c>
      <c r="H210" t="inlineStr">
        <is>
          <t>Allmännings- och besparingsskogar</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15502-2023</t>
        </is>
      </c>
      <c r="B211" t="inlineStr">
        <is>
          <t>avverkningsanmälan</t>
        </is>
      </c>
      <c r="C211" t="inlineStr">
        <is>
          <t>Föryngringsavverkning</t>
        </is>
      </c>
      <c r="D211" s="1" t="n">
        <v>45020</v>
      </c>
      <c r="E211" s="1" t="n">
        <v>46282</v>
      </c>
      <c r="F211" t="inlineStr">
        <is>
          <t>ÖSTERGÖTLANDS LÄN</t>
        </is>
      </c>
      <c r="G211" t="inlineStr">
        <is>
          <t>BOXHOLM</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58472-2021</t>
        </is>
      </c>
      <c r="B212" t="inlineStr">
        <is>
          <t>avverkningsanmälan</t>
        </is>
      </c>
      <c r="C212" t="inlineStr">
        <is>
          <t>Föryngringsavverkning</t>
        </is>
      </c>
      <c r="D212" s="1" t="n">
        <v>44488</v>
      </c>
      <c r="E212" s="1" t="n">
        <v>46282</v>
      </c>
      <c r="F212" t="inlineStr">
        <is>
          <t>ÖSTERGÖTLANDS LÄN</t>
        </is>
      </c>
      <c r="G212" t="inlineStr">
        <is>
          <t>BOXHOLM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6209-2024</t>
        </is>
      </c>
      <c r="B213" t="inlineStr">
        <is>
          <t>avverkningsanmälan</t>
        </is>
      </c>
      <c r="C213" t="inlineStr">
        <is>
          <t>Föryngringsavverkning</t>
        </is>
      </c>
      <c r="D213" s="1" t="n">
        <v>45337</v>
      </c>
      <c r="E213" s="1" t="n">
        <v>46282</v>
      </c>
      <c r="F213" t="inlineStr">
        <is>
          <t>ÖSTERGÖTLANDS LÄN</t>
        </is>
      </c>
      <c r="G213" t="inlineStr">
        <is>
          <t>BOXHOLM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36453-2024</t>
        </is>
      </c>
      <c r="B214" t="inlineStr">
        <is>
          <t>avverkningsanmälan</t>
        </is>
      </c>
      <c r="C214" t="inlineStr">
        <is>
          <t>Avverkning för att bevara och utveckla /försöksver</t>
        </is>
      </c>
      <c r="D214" s="1" t="n">
        <v>45537</v>
      </c>
      <c r="E214" s="1" t="n">
        <v>46282</v>
      </c>
      <c r="F214" t="inlineStr">
        <is>
          <t>ÖSTERGÖTLANDS LÄN</t>
        </is>
      </c>
      <c r="G214" t="inlineStr">
        <is>
          <t>BOXHOLM</t>
        </is>
      </c>
      <c r="H214" t="inlineStr">
        <is>
          <t>Övriga Aktiebolag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15504-2023</t>
        </is>
      </c>
      <c r="B215" t="inlineStr">
        <is>
          <t>avverkningsanmälan</t>
        </is>
      </c>
      <c r="C215" t="inlineStr">
        <is>
          <t>Föryngringsavverkning</t>
        </is>
      </c>
      <c r="D215" s="1" t="n">
        <v>45020</v>
      </c>
      <c r="E215" s="1" t="n">
        <v>46282</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61066-2021</t>
        </is>
      </c>
      <c r="B216" t="inlineStr">
        <is>
          <t>avverkningsanmälan</t>
        </is>
      </c>
      <c r="C216" t="inlineStr">
        <is>
          <t>Föryngringsavverkning</t>
        </is>
      </c>
      <c r="D216" s="1" t="n">
        <v>44497</v>
      </c>
      <c r="E216" s="1" t="n">
        <v>46282</v>
      </c>
      <c r="F216" t="inlineStr">
        <is>
          <t>ÖSTERGÖTLANDS LÄN</t>
        </is>
      </c>
      <c r="G216" t="inlineStr">
        <is>
          <t>BOXHOLM</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50026-2025</t>
        </is>
      </c>
      <c r="B217" t="inlineStr">
        <is>
          <t>avverkningsanmälan</t>
        </is>
      </c>
      <c r="C217" t="inlineStr">
        <is>
          <t>Avverkning för att bevara och utveckla /försöksver</t>
        </is>
      </c>
      <c r="D217" s="1" t="n">
        <v>45943</v>
      </c>
      <c r="E217" s="1" t="n">
        <v>46282</v>
      </c>
      <c r="F217" t="inlineStr">
        <is>
          <t>ÖSTERGÖTLANDS LÄN</t>
        </is>
      </c>
      <c r="G217" t="inlineStr">
        <is>
          <t>BOXHOLM</t>
        </is>
      </c>
      <c r="H217" t="inlineStr">
        <is>
          <t>Övriga Aktiebolag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41080-2024</t>
        </is>
      </c>
      <c r="B218" t="inlineStr">
        <is>
          <t>avverkningsanmälan</t>
        </is>
      </c>
      <c r="C218" t="inlineStr">
        <is>
          <t>Föryngringsavverkning</t>
        </is>
      </c>
      <c r="D218" s="1" t="n">
        <v>45559</v>
      </c>
      <c r="E218" s="1" t="n">
        <v>46282</v>
      </c>
      <c r="F218" t="inlineStr">
        <is>
          <t>ÖSTERGÖTLANDS LÄN</t>
        </is>
      </c>
      <c r="G218" t="inlineStr">
        <is>
          <t>BOXHOLM</t>
        </is>
      </c>
      <c r="H218" t="inlineStr">
        <is>
          <t>Allmännings- och besparingsskogar</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24122-2023</t>
        </is>
      </c>
      <c r="B219" t="inlineStr">
        <is>
          <t>avverkningsanmälan</t>
        </is>
      </c>
      <c r="C219" t="inlineStr">
        <is>
          <t>Föryngringsavverkning</t>
        </is>
      </c>
      <c r="D219" s="1" t="n">
        <v>45079</v>
      </c>
      <c r="E219" s="1" t="n">
        <v>46282</v>
      </c>
      <c r="F219" t="inlineStr">
        <is>
          <t>ÖSTERGÖTLANDS LÄN</t>
        </is>
      </c>
      <c r="G219" t="inlineStr">
        <is>
          <t>BOXHOLM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4190-2024</t>
        </is>
      </c>
      <c r="B220" t="inlineStr">
        <is>
          <t>avverkningsanmälan</t>
        </is>
      </c>
      <c r="C220" t="inlineStr">
        <is>
          <t>Föryngringsavverkning</t>
        </is>
      </c>
      <c r="D220" s="1" t="n">
        <v>45324</v>
      </c>
      <c r="E220" s="1" t="n">
        <v>46282</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39486-2024</t>
        </is>
      </c>
      <c r="B221" t="inlineStr">
        <is>
          <t>avverkningsanmälan</t>
        </is>
      </c>
      <c r="C221" t="inlineStr">
        <is>
          <t>Föryngringsavverkning</t>
        </is>
      </c>
      <c r="D221" s="1" t="n">
        <v>45551</v>
      </c>
      <c r="E221" s="1" t="n">
        <v>46282</v>
      </c>
      <c r="F221" t="inlineStr">
        <is>
          <t>ÖSTERGÖTLANDS LÄN</t>
        </is>
      </c>
      <c r="G221" t="inlineStr">
        <is>
          <t>BOXHOLM</t>
        </is>
      </c>
      <c r="H221" t="inlineStr">
        <is>
          <t>Allmännings- och besparingsskogar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21436-2025</t>
        </is>
      </c>
      <c r="B222" t="inlineStr">
        <is>
          <t>avverkningsanmälan</t>
        </is>
      </c>
      <c r="C222" t="inlineStr">
        <is>
          <t>Föryngringsavverkning</t>
        </is>
      </c>
      <c r="D222" s="1" t="n">
        <v>45782</v>
      </c>
      <c r="E222" s="1" t="n">
        <v>46282</v>
      </c>
      <c r="F222" t="inlineStr">
        <is>
          <t>ÖSTERGÖTLANDS LÄN</t>
        </is>
      </c>
      <c r="G222" t="inlineStr">
        <is>
          <t>BOXHOLM</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35091-2023</t>
        </is>
      </c>
      <c r="B223" t="inlineStr">
        <is>
          <t>avverkningsanmälan</t>
        </is>
      </c>
      <c r="C223" t="inlineStr">
        <is>
          <t>Föryngringsavverkning</t>
        </is>
      </c>
      <c r="D223" s="1" t="n">
        <v>45145</v>
      </c>
      <c r="E223" s="1" t="n">
        <v>46282</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46282</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15420-2025</t>
        </is>
      </c>
      <c r="B225" t="inlineStr">
        <is>
          <t>avverkningsanmälan</t>
        </is>
      </c>
      <c r="C225" t="inlineStr">
        <is>
          <t>Avverkning för att bevara och utveckla /försöksver</t>
        </is>
      </c>
      <c r="D225" s="1" t="n">
        <v>45747</v>
      </c>
      <c r="E225" s="1" t="n">
        <v>46282</v>
      </c>
      <c r="F225" t="inlineStr">
        <is>
          <t>ÖSTERGÖTLANDS LÄN</t>
        </is>
      </c>
      <c r="G225" t="inlineStr">
        <is>
          <t>BOXHOLM</t>
        </is>
      </c>
      <c r="H225" t="inlineStr">
        <is>
          <t>Övriga Aktiebolag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21119-2026</t>
        </is>
      </c>
      <c r="B226" t="inlineStr">
        <is>
          <t>avverkningsanmälan</t>
        </is>
      </c>
      <c r="C226" t="inlineStr">
        <is>
          <t>Föryngringsavverkning</t>
        </is>
      </c>
      <c r="D226" s="1" t="n">
        <v>46146</v>
      </c>
      <c r="E226" s="1" t="n">
        <v>46282</v>
      </c>
      <c r="F226" t="inlineStr">
        <is>
          <t>ÖSTERGÖTLANDS LÄN</t>
        </is>
      </c>
      <c r="G226" t="inlineStr">
        <is>
          <t>BOXHOLM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14628-2023</t>
        </is>
      </c>
      <c r="B227" t="inlineStr">
        <is>
          <t>avverkningsanmälan</t>
        </is>
      </c>
      <c r="C227" t="inlineStr">
        <is>
          <t>Föryngringsavverkning</t>
        </is>
      </c>
      <c r="D227" s="1" t="n">
        <v>45013</v>
      </c>
      <c r="E227" s="1" t="n">
        <v>46282</v>
      </c>
      <c r="F227" t="inlineStr">
        <is>
          <t>ÖSTERGÖTLANDS LÄN</t>
        </is>
      </c>
      <c r="G227" t="inlineStr">
        <is>
          <t>BOXHOLM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39693-2024</t>
        </is>
      </c>
      <c r="B228" t="inlineStr">
        <is>
          <t>avverkningsanmälan</t>
        </is>
      </c>
      <c r="C228" t="inlineStr">
        <is>
          <t>Föryngringsavverkning</t>
        </is>
      </c>
      <c r="D228" s="1" t="n">
        <v>45552</v>
      </c>
      <c r="E228" s="1" t="n">
        <v>46282</v>
      </c>
      <c r="F228" t="inlineStr">
        <is>
          <t>ÖSTERGÖTLANDS LÄN</t>
        </is>
      </c>
      <c r="G228" t="inlineStr">
        <is>
          <t>BOXHOLM</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46282</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21969-2026</t>
        </is>
      </c>
      <c r="B230" t="inlineStr">
        <is>
          <t>avverkningsanmälan</t>
        </is>
      </c>
      <c r="C230" t="inlineStr">
        <is>
          <t>Föryngringsavverkning</t>
        </is>
      </c>
      <c r="D230" s="1" t="n">
        <v>46152</v>
      </c>
      <c r="E230" s="1" t="n">
        <v>46282</v>
      </c>
      <c r="F230" t="inlineStr">
        <is>
          <t>ÖSTERGÖTLANDS LÄN</t>
        </is>
      </c>
      <c r="G230" t="inlineStr">
        <is>
          <t>BOXHOLM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59779-2022</t>
        </is>
      </c>
      <c r="B231" t="inlineStr">
        <is>
          <t>avverkningsanmälan</t>
        </is>
      </c>
      <c r="C231" t="inlineStr">
        <is>
          <t>Föryngringsavverkning</t>
        </is>
      </c>
      <c r="D231" s="1" t="n">
        <v>44908</v>
      </c>
      <c r="E231" s="1" t="n">
        <v>46282</v>
      </c>
      <c r="F231" t="inlineStr">
        <is>
          <t>ÖSTERGÖTLANDS LÄN</t>
        </is>
      </c>
      <c r="G231" t="inlineStr">
        <is>
          <t>BOXHOLM</t>
        </is>
      </c>
      <c r="H231" t="inlineStr">
        <is>
          <t>Övriga Aktiebolag</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46282</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46282</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46282</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46282</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27816-2025</t>
        </is>
      </c>
      <c r="B236" t="inlineStr">
        <is>
          <t>avverkningsanmälan</t>
        </is>
      </c>
      <c r="C236" t="inlineStr">
        <is>
          <t>Avverkning för annat ändamål</t>
        </is>
      </c>
      <c r="D236" s="1" t="n">
        <v>45817</v>
      </c>
      <c r="E236" s="1" t="n">
        <v>46282</v>
      </c>
      <c r="F236" t="inlineStr">
        <is>
          <t>ÖSTERGÖTLANDS LÄN</t>
        </is>
      </c>
      <c r="G236" t="inlineStr">
        <is>
          <t>BOXHOLM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46282</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11850-2026</t>
        </is>
      </c>
      <c r="B238" t="inlineStr">
        <is>
          <t>avverkningsanmälan</t>
        </is>
      </c>
      <c r="C238" t="inlineStr">
        <is>
          <t>Avverkning för annat ändamål</t>
        </is>
      </c>
      <c r="D238" s="1" t="n">
        <v>46085</v>
      </c>
      <c r="E238" s="1" t="n">
        <v>46282</v>
      </c>
      <c r="F238" t="inlineStr">
        <is>
          <t>ÖSTERGÖTLANDS LÄN</t>
        </is>
      </c>
      <c r="G238" t="inlineStr">
        <is>
          <t>BOXHOLM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55181-2022</t>
        </is>
      </c>
      <c r="B239" t="inlineStr">
        <is>
          <t>avverkningsanmälan</t>
        </is>
      </c>
      <c r="C239" t="inlineStr">
        <is>
          <t>Föryngringsavverkning</t>
        </is>
      </c>
      <c r="D239" s="1" t="n">
        <v>44886</v>
      </c>
      <c r="E239" s="1" t="n">
        <v>46282</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55183-2022</t>
        </is>
      </c>
      <c r="B240" t="inlineStr">
        <is>
          <t>avverkningsanmälan</t>
        </is>
      </c>
      <c r="C240" t="inlineStr">
        <is>
          <t>Föryngringsavverkning</t>
        </is>
      </c>
      <c r="D240" s="1" t="n">
        <v>44886</v>
      </c>
      <c r="E240" s="1" t="n">
        <v>46282</v>
      </c>
      <c r="F240" t="inlineStr">
        <is>
          <t>ÖSTERGÖTLANDS LÄN</t>
        </is>
      </c>
      <c r="G240" t="inlineStr">
        <is>
          <t>BOXHOLM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55252-2022</t>
        </is>
      </c>
      <c r="B241" t="inlineStr">
        <is>
          <t>avverkningsanmälan</t>
        </is>
      </c>
      <c r="C241" t="inlineStr">
        <is>
          <t>Föryngringsavverkning</t>
        </is>
      </c>
      <c r="D241" s="1" t="n">
        <v>44887</v>
      </c>
      <c r="E241" s="1" t="n">
        <v>46282</v>
      </c>
      <c r="F241" t="inlineStr">
        <is>
          <t>ÖSTERGÖTLANDS LÄN</t>
        </is>
      </c>
      <c r="G241" t="inlineStr">
        <is>
          <t>BOXHOLM</t>
        </is>
      </c>
      <c r="H241" t="inlineStr">
        <is>
          <t>Övriga Aktiebolag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19129-2025</t>
        </is>
      </c>
      <c r="B242" t="inlineStr">
        <is>
          <t>avverkningsanmälan</t>
        </is>
      </c>
      <c r="C242" t="inlineStr">
        <is>
          <t>Föryngringsavverkning</t>
        </is>
      </c>
      <c r="D242" s="1" t="n">
        <v>45769</v>
      </c>
      <c r="E242" s="1" t="n">
        <v>46282</v>
      </c>
      <c r="F242" t="inlineStr">
        <is>
          <t>ÖSTERGÖTLANDS LÄN</t>
        </is>
      </c>
      <c r="G242" t="inlineStr">
        <is>
          <t>BOXHOLM</t>
        </is>
      </c>
      <c r="H242" t="inlineStr">
        <is>
          <t>Övriga Aktiebolag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65333-2021</t>
        </is>
      </c>
      <c r="B243" t="inlineStr">
        <is>
          <t>avverkningsanmälan</t>
        </is>
      </c>
      <c r="C243" t="inlineStr">
        <is>
          <t>Föryngringsavverkning</t>
        </is>
      </c>
      <c r="D243" s="1" t="n">
        <v>44515</v>
      </c>
      <c r="E243" s="1" t="n">
        <v>46282</v>
      </c>
      <c r="F243" t="inlineStr">
        <is>
          <t>ÖSTERGÖTLANDS LÄN</t>
        </is>
      </c>
      <c r="G243" t="inlineStr">
        <is>
          <t>BOXHOLM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23831-2026</t>
        </is>
      </c>
      <c r="B244" t="inlineStr">
        <is>
          <t>avverkningsanmälan</t>
        </is>
      </c>
      <c r="C244" t="inlineStr">
        <is>
          <t>Föryngringsavverkning</t>
        </is>
      </c>
      <c r="D244" s="1" t="n">
        <v>46167</v>
      </c>
      <c r="E244" s="1" t="n">
        <v>46282</v>
      </c>
      <c r="F244" t="inlineStr">
        <is>
          <t>ÖSTERGÖTLANDS LÄN</t>
        </is>
      </c>
      <c r="G244" t="inlineStr">
        <is>
          <t>BOXHOLM</t>
        </is>
      </c>
      <c r="H244" t="inlineStr">
        <is>
          <t>Övriga Aktiebolag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46282</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26648-2025</t>
        </is>
      </c>
      <c r="B246" t="inlineStr">
        <is>
          <t>avverkningsanmälan</t>
        </is>
      </c>
      <c r="C246" t="inlineStr">
        <is>
          <t>Föryngringsavverkning</t>
        </is>
      </c>
      <c r="D246" s="1" t="n">
        <v>45809</v>
      </c>
      <c r="E246" s="1" t="n">
        <v>46282</v>
      </c>
      <c r="F246" t="inlineStr">
        <is>
          <t>ÖSTERGÖTLANDS LÄN</t>
        </is>
      </c>
      <c r="G246" t="inlineStr">
        <is>
          <t>BOXHOLM</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46282</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15386-2025</t>
        </is>
      </c>
      <c r="B248" t="inlineStr">
        <is>
          <t>avverkningsanmälan</t>
        </is>
      </c>
      <c r="C248" t="inlineStr">
        <is>
          <t>Avverkning för att bevara och utveckla /försöksver</t>
        </is>
      </c>
      <c r="D248" s="1" t="n">
        <v>45747</v>
      </c>
      <c r="E248" s="1" t="n">
        <v>46282</v>
      </c>
      <c r="F248" t="inlineStr">
        <is>
          <t>ÖSTERGÖTLANDS LÄN</t>
        </is>
      </c>
      <c r="G248" t="inlineStr">
        <is>
          <t>BOXHOLM</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50239-2024</t>
        </is>
      </c>
      <c r="B249" t="inlineStr">
        <is>
          <t>avverkningsanmälan</t>
        </is>
      </c>
      <c r="C249" t="inlineStr">
        <is>
          <t>Avverkning för att bevara och utveckla /försöksver</t>
        </is>
      </c>
      <c r="D249" s="1" t="n">
        <v>45600</v>
      </c>
      <c r="E249" s="1" t="n">
        <v>46282</v>
      </c>
      <c r="F249" t="inlineStr">
        <is>
          <t>ÖSTERGÖTLANDS LÄN</t>
        </is>
      </c>
      <c r="G249" t="inlineStr">
        <is>
          <t>BOXHOLM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50251-2024</t>
        </is>
      </c>
      <c r="B250" t="inlineStr">
        <is>
          <t>avverkningsanmälan</t>
        </is>
      </c>
      <c r="C250" t="inlineStr">
        <is>
          <t>Avverkning för att bevara och utveckla /försöksver</t>
        </is>
      </c>
      <c r="D250" s="1" t="n">
        <v>45600</v>
      </c>
      <c r="E250" s="1" t="n">
        <v>46282</v>
      </c>
      <c r="F250" t="inlineStr">
        <is>
          <t>ÖSTERGÖTLANDS LÄN</t>
        </is>
      </c>
      <c r="G250" t="inlineStr">
        <is>
          <t>BOXHOLM</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51708-2023</t>
        </is>
      </c>
      <c r="B251" t="inlineStr">
        <is>
          <t>avverkningsanmälan</t>
        </is>
      </c>
      <c r="C251" t="inlineStr">
        <is>
          <t>Föryngringsavverkning</t>
        </is>
      </c>
      <c r="D251" s="1" t="n">
        <v>45222</v>
      </c>
      <c r="E251" s="1" t="n">
        <v>46282</v>
      </c>
      <c r="F251" t="inlineStr">
        <is>
          <t>ÖSTERGÖTLANDS LÄN</t>
        </is>
      </c>
      <c r="G251" t="inlineStr">
        <is>
          <t>BOXHOLM</t>
        </is>
      </c>
      <c r="H251" t="inlineStr">
        <is>
          <t>Allmännings- och besparingsskogar</t>
        </is>
      </c>
      <c r="I251" t="n">
        <v>24.2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25279-2024</t>
        </is>
      </c>
      <c r="B252" t="inlineStr">
        <is>
          <t>avverkningsanmälan</t>
        </is>
      </c>
      <c r="C252" t="inlineStr">
        <is>
          <t>Avverkning för att bevara och utveckla /försöksver</t>
        </is>
      </c>
      <c r="D252" s="1" t="n">
        <v>45462</v>
      </c>
      <c r="E252" s="1" t="n">
        <v>46282</v>
      </c>
      <c r="F252" t="inlineStr">
        <is>
          <t>ÖSTERGÖTLANDS LÄN</t>
        </is>
      </c>
      <c r="G252" t="inlineStr">
        <is>
          <t>BOXHOLM</t>
        </is>
      </c>
      <c r="H252" t="inlineStr">
        <is>
          <t>Övriga Aktiebolag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31673-2023</t>
        </is>
      </c>
      <c r="B253" t="inlineStr">
        <is>
          <t>avverkningsanmälan</t>
        </is>
      </c>
      <c r="C253" t="inlineStr">
        <is>
          <t>Avverkning för att bevara och utveckla /försöksver</t>
        </is>
      </c>
      <c r="D253" s="1" t="n">
        <v>45117</v>
      </c>
      <c r="E253" s="1" t="n">
        <v>46282</v>
      </c>
      <c r="F253" t="inlineStr">
        <is>
          <t>ÖSTERGÖTLANDS LÄN</t>
        </is>
      </c>
      <c r="G253" t="inlineStr">
        <is>
          <t>BOXHOLM</t>
        </is>
      </c>
      <c r="H253" t="inlineStr">
        <is>
          <t>Övriga Aktiebolag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23834-2023</t>
        </is>
      </c>
      <c r="B254" t="inlineStr">
        <is>
          <t>avverkningsanmälan</t>
        </is>
      </c>
      <c r="C254" t="inlineStr">
        <is>
          <t>Föryngringsavverkning</t>
        </is>
      </c>
      <c r="D254" s="1" t="n">
        <v>45078</v>
      </c>
      <c r="E254" s="1" t="n">
        <v>46282</v>
      </c>
      <c r="F254" t="inlineStr">
        <is>
          <t>ÖSTERGÖTLANDS LÄN</t>
        </is>
      </c>
      <c r="G254" t="inlineStr">
        <is>
          <t>BOXHOLM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48373-2022</t>
        </is>
      </c>
      <c r="B255" t="inlineStr">
        <is>
          <t>avverkningsanmälan</t>
        </is>
      </c>
      <c r="C255" t="inlineStr">
        <is>
          <t>Föryngringsavverkning</t>
        </is>
      </c>
      <c r="D255" s="1" t="n">
        <v>44858</v>
      </c>
      <c r="E255" s="1" t="n">
        <v>46282</v>
      </c>
      <c r="F255" t="inlineStr">
        <is>
          <t>ÖSTERGÖTLANDS LÄN</t>
        </is>
      </c>
      <c r="G255" t="inlineStr">
        <is>
          <t>BOXHOLM</t>
        </is>
      </c>
      <c r="H255" t="inlineStr">
        <is>
          <t>Övriga Aktiebolag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13993-2022</t>
        </is>
      </c>
      <c r="B256" t="inlineStr">
        <is>
          <t>avverkningsanmälan</t>
        </is>
      </c>
      <c r="C256" t="inlineStr">
        <is>
          <t>Föryngringsavverkning</t>
        </is>
      </c>
      <c r="D256" s="1" t="n">
        <v>44650</v>
      </c>
      <c r="E256" s="1" t="n">
        <v>46282</v>
      </c>
      <c r="F256" t="inlineStr">
        <is>
          <t>ÖSTERGÖTLANDS LÄN</t>
        </is>
      </c>
      <c r="G256" t="inlineStr">
        <is>
          <t>BOXHOLM</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42383-2022</t>
        </is>
      </c>
      <c r="B257" t="inlineStr">
        <is>
          <t>avverkningsanmälan</t>
        </is>
      </c>
      <c r="C257" t="inlineStr">
        <is>
          <t>Föryngringsavverkning</t>
        </is>
      </c>
      <c r="D257" s="1" t="n">
        <v>44831</v>
      </c>
      <c r="E257" s="1" t="n">
        <v>46282</v>
      </c>
      <c r="F257" t="inlineStr">
        <is>
          <t>ÖSTERGÖTLANDS LÄN</t>
        </is>
      </c>
      <c r="G257" t="inlineStr">
        <is>
          <t>BOXHOLM</t>
        </is>
      </c>
      <c r="H257" t="inlineStr">
        <is>
          <t>Övriga Aktiebolag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27485-2026</t>
        </is>
      </c>
      <c r="B258" t="inlineStr">
        <is>
          <t>avverkningsanmälan</t>
        </is>
      </c>
      <c r="C258" t="inlineStr">
        <is>
          <t>Avverkning för att bevara och utveckla /försöksver</t>
        </is>
      </c>
      <c r="D258" s="1" t="n">
        <v>46189</v>
      </c>
      <c r="E258" s="1" t="n">
        <v>46282</v>
      </c>
      <c r="F258" t="inlineStr">
        <is>
          <t>ÖSTERGÖTLANDS LÄN</t>
        </is>
      </c>
      <c r="G258" t="inlineStr">
        <is>
          <t>BOXHOLM</t>
        </is>
      </c>
      <c r="H258" t="inlineStr">
        <is>
          <t>Övriga Aktiebolag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44758-2025</t>
        </is>
      </c>
      <c r="B259" t="inlineStr">
        <is>
          <t>avverkningsanmälan</t>
        </is>
      </c>
      <c r="C259" t="inlineStr">
        <is>
          <t>Föryngringsavverkning</t>
        </is>
      </c>
      <c r="D259" s="1" t="n">
        <v>45917</v>
      </c>
      <c r="E259" s="1" t="n">
        <v>46282</v>
      </c>
      <c r="F259" t="inlineStr">
        <is>
          <t>ÖSTERGÖTLANDS LÄN</t>
        </is>
      </c>
      <c r="G259" t="inlineStr">
        <is>
          <t>BOXHOLM</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52964-2023</t>
        </is>
      </c>
      <c r="B260" t="inlineStr">
        <is>
          <t>avverkningsanmälan</t>
        </is>
      </c>
      <c r="C260" t="inlineStr">
        <is>
          <t>Föryngringsavverkning</t>
        </is>
      </c>
      <c r="D260" s="1" t="n">
        <v>45226</v>
      </c>
      <c r="E260" s="1" t="n">
        <v>46282</v>
      </c>
      <c r="F260" t="inlineStr">
        <is>
          <t>ÖSTERGÖTLANDS LÄN</t>
        </is>
      </c>
      <c r="G260" t="inlineStr">
        <is>
          <t>BOXHOLM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28233-2026</t>
        </is>
      </c>
      <c r="B261" t="inlineStr">
        <is>
          <t>avverkningsanmälan</t>
        </is>
      </c>
      <c r="C261" t="inlineStr">
        <is>
          <t>Föryngringsavverkning</t>
        </is>
      </c>
      <c r="D261" s="1" t="n">
        <v>46196</v>
      </c>
      <c r="E261" s="1" t="n">
        <v>46282</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53316-2024</t>
        </is>
      </c>
      <c r="B262" t="inlineStr">
        <is>
          <t>avverkningsanmälan</t>
        </is>
      </c>
      <c r="C262" t="inlineStr">
        <is>
          <t>Föryngringsavverkning</t>
        </is>
      </c>
      <c r="D262" s="1" t="n">
        <v>45614</v>
      </c>
      <c r="E262" s="1" t="n">
        <v>46282</v>
      </c>
      <c r="F262" t="inlineStr">
        <is>
          <t>ÖSTERGÖTLANDS LÄN</t>
        </is>
      </c>
      <c r="G262" t="inlineStr">
        <is>
          <t>BOXHOLM</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15526-2023</t>
        </is>
      </c>
      <c r="B263" t="inlineStr">
        <is>
          <t>avverkningsanmälan</t>
        </is>
      </c>
      <c r="C263" t="inlineStr">
        <is>
          <t>Föryngringsavverkning</t>
        </is>
      </c>
      <c r="D263" s="1" t="n">
        <v>45020</v>
      </c>
      <c r="E263" s="1" t="n">
        <v>46282</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33031-2026</t>
        </is>
      </c>
      <c r="B264" t="inlineStr">
        <is>
          <t>avverkningsanmälan</t>
        </is>
      </c>
      <c r="C264" t="inlineStr">
        <is>
          <t>Föryngringsavverkning</t>
        </is>
      </c>
      <c r="D264" s="1" t="n">
        <v>46244</v>
      </c>
      <c r="E264" s="1" t="n">
        <v>46282</v>
      </c>
      <c r="F264" t="inlineStr">
        <is>
          <t>ÖSTERGÖTLANDS LÄN</t>
        </is>
      </c>
      <c r="G264" t="inlineStr">
        <is>
          <t>BOXHOLM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28865-2026</t>
        </is>
      </c>
      <c r="B265" t="inlineStr">
        <is>
          <t>avverkningsanmälan</t>
        </is>
      </c>
      <c r="C265" t="inlineStr">
        <is>
          <t>Föryngringsavverkning</t>
        </is>
      </c>
      <c r="D265" s="1" t="n">
        <v>46199</v>
      </c>
      <c r="E265" s="1" t="n">
        <v>46282</v>
      </c>
      <c r="F265" t="inlineStr">
        <is>
          <t>ÖSTERGÖTLANDS LÄN</t>
        </is>
      </c>
      <c r="G265" t="inlineStr">
        <is>
          <t>BOXHOLM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27647-2023</t>
        </is>
      </c>
      <c r="B266" t="inlineStr">
        <is>
          <t>avverkningsanmälan</t>
        </is>
      </c>
      <c r="C266" t="inlineStr">
        <is>
          <t>Föryngringsavverkning</t>
        </is>
      </c>
      <c r="D266" s="1" t="n">
        <v>45097</v>
      </c>
      <c r="E266" s="1" t="n">
        <v>46282</v>
      </c>
      <c r="F266" t="inlineStr">
        <is>
          <t>ÖSTERGÖTLANDS LÄN</t>
        </is>
      </c>
      <c r="G266" t="inlineStr">
        <is>
          <t>BOXHOLM</t>
        </is>
      </c>
      <c r="H266" t="inlineStr">
        <is>
          <t>Allmännings- och besparingsskogar</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33396-2026</t>
        </is>
      </c>
      <c r="B267" t="inlineStr">
        <is>
          <t>avverkningsanmälan</t>
        </is>
      </c>
      <c r="C267" t="inlineStr">
        <is>
          <t>Avverkning för att bevara och utveckla /försöksver</t>
        </is>
      </c>
      <c r="D267" s="1" t="n">
        <v>46247</v>
      </c>
      <c r="E267" s="1" t="n">
        <v>46282</v>
      </c>
      <c r="F267" t="inlineStr">
        <is>
          <t>ÖSTERGÖTLANDS LÄN</t>
        </is>
      </c>
      <c r="G267" t="inlineStr">
        <is>
          <t>BOXHOLM</t>
        </is>
      </c>
      <c r="H267" t="inlineStr">
        <is>
          <t>Övriga Aktiebolag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33011-2026</t>
        </is>
      </c>
      <c r="B268" t="inlineStr">
        <is>
          <t>avverkningsanmälan</t>
        </is>
      </c>
      <c r="C268" t="inlineStr">
        <is>
          <t>Föryngringsavverkning</t>
        </is>
      </c>
      <c r="D268" s="1" t="n">
        <v>46244</v>
      </c>
      <c r="E268" s="1" t="n">
        <v>46282</v>
      </c>
      <c r="F268" t="inlineStr">
        <is>
          <t>ÖSTERGÖTLANDS LÄN</t>
        </is>
      </c>
      <c r="G268" t="inlineStr">
        <is>
          <t>BOXHOLM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33389-2026</t>
        </is>
      </c>
      <c r="B269" t="inlineStr">
        <is>
          <t>avverkningsanmälan</t>
        </is>
      </c>
      <c r="C269" t="inlineStr">
        <is>
          <t>Föryngringsavverkning</t>
        </is>
      </c>
      <c r="D269" s="1" t="n">
        <v>46247</v>
      </c>
      <c r="E269" s="1" t="n">
        <v>46282</v>
      </c>
      <c r="F269" t="inlineStr">
        <is>
          <t>ÖSTERGÖTLANDS LÄN</t>
        </is>
      </c>
      <c r="G269" t="inlineStr">
        <is>
          <t>BOXHOLM</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33705-2026</t>
        </is>
      </c>
      <c r="B270" t="inlineStr">
        <is>
          <t>avverkningsanmälan</t>
        </is>
      </c>
      <c r="C270" t="inlineStr">
        <is>
          <t>Föryngringsavverkning</t>
        </is>
      </c>
      <c r="D270" s="1" t="n">
        <v>46251</v>
      </c>
      <c r="E270" s="1" t="n">
        <v>46282</v>
      </c>
      <c r="F270" t="inlineStr">
        <is>
          <t>ÖSTERGÖTLANDS LÄN</t>
        </is>
      </c>
      <c r="G270" t="inlineStr">
        <is>
          <t>BOXHOLM</t>
        </is>
      </c>
      <c r="H270" t="inlineStr">
        <is>
          <t>Övriga Aktiebolag</t>
        </is>
      </c>
      <c r="I270" t="n">
        <v>9.4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37405-2023</t>
        </is>
      </c>
      <c r="B271" t="inlineStr">
        <is>
          <t>avverkningsanmälan</t>
        </is>
      </c>
      <c r="C271" t="inlineStr">
        <is>
          <t>Föryngringsavverkning</t>
        </is>
      </c>
      <c r="D271" s="1" t="n">
        <v>45156</v>
      </c>
      <c r="E271" s="1" t="n">
        <v>46282</v>
      </c>
      <c r="F271" t="inlineStr">
        <is>
          <t>ÖSTERGÖTLANDS LÄN</t>
        </is>
      </c>
      <c r="G271" t="inlineStr">
        <is>
          <t>BOXHOLM</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29974-2026</t>
        </is>
      </c>
      <c r="B272" t="inlineStr">
        <is>
          <t>avverkningsanmälan</t>
        </is>
      </c>
      <c r="C272" t="inlineStr">
        <is>
          <t>Föryngringsavverkning</t>
        </is>
      </c>
      <c r="D272" s="1" t="n">
        <v>46205</v>
      </c>
      <c r="E272" s="1" t="n">
        <v>46282</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29975-2026</t>
        </is>
      </c>
      <c r="B273" t="inlineStr">
        <is>
          <t>avverkningsanmälan</t>
        </is>
      </c>
      <c r="C273" t="inlineStr">
        <is>
          <t>Föryngringsavverkning</t>
        </is>
      </c>
      <c r="D273" s="1" t="n">
        <v>46205</v>
      </c>
      <c r="E273" s="1" t="n">
        <v>46282</v>
      </c>
      <c r="F273" t="inlineStr">
        <is>
          <t>ÖSTERGÖTLANDS LÄN</t>
        </is>
      </c>
      <c r="G273" t="inlineStr">
        <is>
          <t>BOXHOLM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46282</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46282</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29977-2026</t>
        </is>
      </c>
      <c r="B276" t="inlineStr">
        <is>
          <t>avverkningsanmälan</t>
        </is>
      </c>
      <c r="C276" t="inlineStr">
        <is>
          <t>Föryngringsavverkning</t>
        </is>
      </c>
      <c r="D276" s="1" t="n">
        <v>46205</v>
      </c>
      <c r="E276" s="1" t="n">
        <v>46282</v>
      </c>
      <c r="F276" t="inlineStr">
        <is>
          <t>ÖSTERGÖTLANDS LÄN</t>
        </is>
      </c>
      <c r="G276" t="inlineStr">
        <is>
          <t>BOXHOLM</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29976-2026</t>
        </is>
      </c>
      <c r="B277" t="inlineStr">
        <is>
          <t>avverkningsanmälan</t>
        </is>
      </c>
      <c r="C277" t="inlineStr">
        <is>
          <t>Föryngringsavverkning</t>
        </is>
      </c>
      <c r="D277" s="1" t="n">
        <v>46205</v>
      </c>
      <c r="E277" s="1" t="n">
        <v>46282</v>
      </c>
      <c r="F277" t="inlineStr">
        <is>
          <t>ÖSTERGÖTLANDS LÄN</t>
        </is>
      </c>
      <c r="G277" t="inlineStr">
        <is>
          <t>BOXHOLM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7290-2025</t>
        </is>
      </c>
      <c r="B278" t="inlineStr">
        <is>
          <t>avverkningsanmälan</t>
        </is>
      </c>
      <c r="C278" t="inlineStr">
        <is>
          <t>Avverkning för annat ändamål</t>
        </is>
      </c>
      <c r="D278" s="1" t="n">
        <v>45702</v>
      </c>
      <c r="E278" s="1" t="n">
        <v>46282</v>
      </c>
      <c r="F278" t="inlineStr">
        <is>
          <t>ÖSTERGÖTLANDS LÄN</t>
        </is>
      </c>
      <c r="G278" t="inlineStr">
        <is>
          <t>BOXHOLM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51545-2023</t>
        </is>
      </c>
      <c r="B279" t="inlineStr">
        <is>
          <t>avverkningsanmälan</t>
        </is>
      </c>
      <c r="C279" t="inlineStr">
        <is>
          <t>Föryngringsavverkning</t>
        </is>
      </c>
      <c r="D279" s="1" t="n">
        <v>45222</v>
      </c>
      <c r="E279" s="1" t="n">
        <v>46282</v>
      </c>
      <c r="F279" t="inlineStr">
        <is>
          <t>ÖSTERGÖTLANDS LÄN</t>
        </is>
      </c>
      <c r="G279" t="inlineStr">
        <is>
          <t>BOXHOLM</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15498-2023</t>
        </is>
      </c>
      <c r="B280" t="inlineStr">
        <is>
          <t>avverkningsanmälan</t>
        </is>
      </c>
      <c r="C280" t="inlineStr">
        <is>
          <t>Föryngringsavverkning</t>
        </is>
      </c>
      <c r="D280" s="1" t="n">
        <v>45020</v>
      </c>
      <c r="E280" s="1" t="n">
        <v>46282</v>
      </c>
      <c r="F280" t="inlineStr">
        <is>
          <t>ÖSTERGÖTLANDS LÄN</t>
        </is>
      </c>
      <c r="G280" t="inlineStr">
        <is>
          <t>BOXHOLM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48560-2022</t>
        </is>
      </c>
      <c r="B281" t="inlineStr">
        <is>
          <t>avverkningsanmälan</t>
        </is>
      </c>
      <c r="C281" t="inlineStr">
        <is>
          <t>Föryngringsavverkning</t>
        </is>
      </c>
      <c r="D281" s="1" t="n">
        <v>44859</v>
      </c>
      <c r="E281" s="1" t="n">
        <v>46282</v>
      </c>
      <c r="F281" t="inlineStr">
        <is>
          <t>ÖSTERGÖTLANDS LÄN</t>
        </is>
      </c>
      <c r="G281" t="inlineStr">
        <is>
          <t>BOXHOLM</t>
        </is>
      </c>
      <c r="H281" t="inlineStr">
        <is>
          <t>Övriga Aktiebolag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15500-2025</t>
        </is>
      </c>
      <c r="B282" t="inlineStr">
        <is>
          <t>avverkningsanmälan</t>
        </is>
      </c>
      <c r="C282" t="inlineStr">
        <is>
          <t>Avverkning för att bevara och utveckla /försöksver</t>
        </is>
      </c>
      <c r="D282" s="1" t="n">
        <v>45747</v>
      </c>
      <c r="E282" s="1" t="n">
        <v>46282</v>
      </c>
      <c r="F282" t="inlineStr">
        <is>
          <t>ÖSTERGÖTLANDS LÄN</t>
        </is>
      </c>
      <c r="G282" t="inlineStr">
        <is>
          <t>BOXHOLM</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10152-2024</t>
        </is>
      </c>
      <c r="B283" t="inlineStr">
        <is>
          <t>avverkningsanmälan</t>
        </is>
      </c>
      <c r="C283" t="inlineStr">
        <is>
          <t>Föryngringsavverkning</t>
        </is>
      </c>
      <c r="D283" s="1" t="n">
        <v>45364</v>
      </c>
      <c r="E283" s="1" t="n">
        <v>46282</v>
      </c>
      <c r="F283" t="inlineStr">
        <is>
          <t>ÖSTERGÖTLANDS LÄN</t>
        </is>
      </c>
      <c r="G283" t="inlineStr">
        <is>
          <t>BOXHOLM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35432-2023</t>
        </is>
      </c>
      <c r="B284" t="inlineStr">
        <is>
          <t>avverkningsanmälan</t>
        </is>
      </c>
      <c r="C284" t="inlineStr">
        <is>
          <t>Föryngringsavverkning</t>
        </is>
      </c>
      <c r="D284" s="1" t="n">
        <v>45146</v>
      </c>
      <c r="E284" s="1" t="n">
        <v>46282</v>
      </c>
      <c r="F284" t="inlineStr">
        <is>
          <t>ÖSTERGÖTLANDS LÄN</t>
        </is>
      </c>
      <c r="G284" t="inlineStr">
        <is>
          <t>BOXHOLM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21635-2023</t>
        </is>
      </c>
      <c r="B285" t="inlineStr">
        <is>
          <t>avverkningsanmälan</t>
        </is>
      </c>
      <c r="C285" t="inlineStr">
        <is>
          <t>Föryngringsavverkning</t>
        </is>
      </c>
      <c r="D285" s="1" t="n">
        <v>45062</v>
      </c>
      <c r="E285" s="1" t="n">
        <v>46282</v>
      </c>
      <c r="F285" t="inlineStr">
        <is>
          <t>ÖSTERGÖTLANDS LÄN</t>
        </is>
      </c>
      <c r="G285" t="inlineStr">
        <is>
          <t>BOXHOLM</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33613-2026</t>
        </is>
      </c>
      <c r="B286" t="inlineStr">
        <is>
          <t>avverkningsanmälan</t>
        </is>
      </c>
      <c r="C286" t="inlineStr">
        <is>
          <t>Föryngringsavverkning</t>
        </is>
      </c>
      <c r="D286" s="1" t="n">
        <v>46248</v>
      </c>
      <c r="E286" s="1" t="n">
        <v>46282</v>
      </c>
      <c r="F286" t="inlineStr">
        <is>
          <t>ÖSTERGÖTLANDS LÄN</t>
        </is>
      </c>
      <c r="G286" t="inlineStr">
        <is>
          <t>BOXHOLM</t>
        </is>
      </c>
      <c r="H286" t="inlineStr">
        <is>
          <t>Övriga Aktiebolag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59125-2022</t>
        </is>
      </c>
      <c r="B287" t="inlineStr">
        <is>
          <t>avverkningsanmälan</t>
        </is>
      </c>
      <c r="C287" t="inlineStr">
        <is>
          <t>Föryngringsavverkning</t>
        </is>
      </c>
      <c r="D287" s="1" t="n">
        <v>44904</v>
      </c>
      <c r="E287" s="1" t="n">
        <v>46282</v>
      </c>
      <c r="F287" t="inlineStr">
        <is>
          <t>ÖSTERGÖTLANDS LÄN</t>
        </is>
      </c>
      <c r="G287" t="inlineStr">
        <is>
          <t>BOXHOLM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31249-2026</t>
        </is>
      </c>
      <c r="B288" t="inlineStr">
        <is>
          <t>avverkningsanmälan</t>
        </is>
      </c>
      <c r="C288" t="inlineStr">
        <is>
          <t>Föryngringsavverkning</t>
        </is>
      </c>
      <c r="D288" s="1" t="n">
        <v>46218</v>
      </c>
      <c r="E288" s="1" t="n">
        <v>46282</v>
      </c>
      <c r="F288" t="inlineStr">
        <is>
          <t>ÖSTERGÖTLANDS LÄN</t>
        </is>
      </c>
      <c r="G288" t="inlineStr">
        <is>
          <t>BOXHOLM</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35663-2026</t>
        </is>
      </c>
      <c r="B289" t="inlineStr">
        <is>
          <t>avverkningsanmälan</t>
        </is>
      </c>
      <c r="C289" t="inlineStr">
        <is>
          <t>Föryngringsavverkning</t>
        </is>
      </c>
      <c r="D289" s="1" t="n">
        <v>46265</v>
      </c>
      <c r="E289" s="1" t="n">
        <v>46282</v>
      </c>
      <c r="F289" t="inlineStr">
        <is>
          <t>ÖSTERGÖTLANDS LÄN</t>
        </is>
      </c>
      <c r="G289" t="inlineStr">
        <is>
          <t>BOXHOLM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48322-2022</t>
        </is>
      </c>
      <c r="B290" t="inlineStr">
        <is>
          <t>avverkningsanmälan</t>
        </is>
      </c>
      <c r="C290" t="inlineStr">
        <is>
          <t>Föryngringsavverkning</t>
        </is>
      </c>
      <c r="D290" s="1" t="n">
        <v>44858</v>
      </c>
      <c r="E290" s="1" t="n">
        <v>46282</v>
      </c>
      <c r="F290" t="inlineStr">
        <is>
          <t>ÖSTERGÖTLANDS LÄN</t>
        </is>
      </c>
      <c r="G290" t="inlineStr">
        <is>
          <t>BOXHOLM</t>
        </is>
      </c>
      <c r="H290" t="inlineStr">
        <is>
          <t>Allmännings- och besparingsskogar</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25892-2026</t>
        </is>
      </c>
      <c r="B291" t="inlineStr">
        <is>
          <t>avverkningsanmälan</t>
        </is>
      </c>
      <c r="C291" t="inlineStr">
        <is>
          <t>Föryngringsavverkning</t>
        </is>
      </c>
      <c r="D291" s="1" t="n">
        <v>46178</v>
      </c>
      <c r="E291" s="1" t="n">
        <v>46282</v>
      </c>
      <c r="F291" t="inlineStr">
        <is>
          <t>ÖSTERGÖTLANDS LÄN</t>
        </is>
      </c>
      <c r="G291" t="inlineStr">
        <is>
          <t>BOXHOLM</t>
        </is>
      </c>
      <c r="H291" t="inlineStr">
        <is>
          <t>Övriga Aktiebolag</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58738-2025</t>
        </is>
      </c>
      <c r="B292" t="inlineStr">
        <is>
          <t>avverkningsanmälan</t>
        </is>
      </c>
      <c r="C292" t="inlineStr">
        <is>
          <t>Föryngringsavverkning</t>
        </is>
      </c>
      <c r="D292" s="1" t="n">
        <v>45986</v>
      </c>
      <c r="E292" s="1" t="n">
        <v>46282</v>
      </c>
      <c r="F292" t="inlineStr">
        <is>
          <t>ÖSTERGÖTLANDS LÄN</t>
        </is>
      </c>
      <c r="G292" t="inlineStr">
        <is>
          <t>BOXHOLM</t>
        </is>
      </c>
      <c r="H292" t="inlineStr">
        <is>
          <t>Allmännings- och besparingsskogar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60210-2023</t>
        </is>
      </c>
      <c r="B293" t="inlineStr">
        <is>
          <t>avverkningsanmälan</t>
        </is>
      </c>
      <c r="C293" t="inlineStr">
        <is>
          <t>Föryngringsavverkning</t>
        </is>
      </c>
      <c r="D293" s="1" t="n">
        <v>45258</v>
      </c>
      <c r="E293" s="1" t="n">
        <v>46282</v>
      </c>
      <c r="F293" t="inlineStr">
        <is>
          <t>ÖSTERGÖTLANDS LÄN</t>
        </is>
      </c>
      <c r="G293" t="inlineStr">
        <is>
          <t>BOXHOLM</t>
        </is>
      </c>
      <c r="H293" t="inlineStr">
        <is>
          <t>Övriga Aktiebolag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60867-2022</t>
        </is>
      </c>
      <c r="B294" t="inlineStr">
        <is>
          <t>avverkningsanmälan</t>
        </is>
      </c>
      <c r="C294" t="inlineStr">
        <is>
          <t>Avverkning för annat ändamål</t>
        </is>
      </c>
      <c r="D294" s="1" t="n">
        <v>44914</v>
      </c>
      <c r="E294" s="1" t="n">
        <v>46282</v>
      </c>
      <c r="F294" t="inlineStr">
        <is>
          <t>ÖSTERGÖTLANDS LÄN</t>
        </is>
      </c>
      <c r="G294" t="inlineStr">
        <is>
          <t>BOXHOLM</t>
        </is>
      </c>
      <c r="H294" t="inlineStr">
        <is>
          <t>Övriga Aktiebolag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17872-2025</t>
        </is>
      </c>
      <c r="B295" t="inlineStr">
        <is>
          <t>avverkningsanmälan</t>
        </is>
      </c>
      <c r="C295" t="inlineStr">
        <is>
          <t>Avverkning för att bevara och utveckla /försöksver</t>
        </is>
      </c>
      <c r="D295" s="1" t="n">
        <v>45758</v>
      </c>
      <c r="E295" s="1" t="n">
        <v>46282</v>
      </c>
      <c r="F295" t="inlineStr">
        <is>
          <t>ÖSTERGÖTLANDS LÄN</t>
        </is>
      </c>
      <c r="G295" t="inlineStr">
        <is>
          <t>BOXHOLM</t>
        </is>
      </c>
      <c r="H295" t="inlineStr">
        <is>
          <t>Övriga Aktiebolag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954-2024</t>
        </is>
      </c>
      <c r="B296" t="inlineStr">
        <is>
          <t>avverkningsanmälan</t>
        </is>
      </c>
      <c r="C296" t="inlineStr">
        <is>
          <t>Föryngringsavverkning</t>
        </is>
      </c>
      <c r="D296" s="1" t="n">
        <v>45301</v>
      </c>
      <c r="E296" s="1" t="n">
        <v>46282</v>
      </c>
      <c r="F296" t="inlineStr">
        <is>
          <t>ÖSTERGÖTLANDS LÄN</t>
        </is>
      </c>
      <c r="G296" t="inlineStr">
        <is>
          <t>BOXHOLM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965-2024</t>
        </is>
      </c>
      <c r="B297" t="inlineStr">
        <is>
          <t>avverkningsanmälan</t>
        </is>
      </c>
      <c r="C297" t="inlineStr">
        <is>
          <t>Föryngringsavverkning</t>
        </is>
      </c>
      <c r="D297" s="1" t="n">
        <v>45301</v>
      </c>
      <c r="E297" s="1" t="n">
        <v>46282</v>
      </c>
      <c r="F297" t="inlineStr">
        <is>
          <t>ÖSTERGÖTLANDS LÄN</t>
        </is>
      </c>
      <c r="G297" t="inlineStr">
        <is>
          <t>BOXHOLM</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27305-2026</t>
        </is>
      </c>
      <c r="B298" t="inlineStr">
        <is>
          <t>avverkningsanmälan</t>
        </is>
      </c>
      <c r="C298" t="inlineStr">
        <is>
          <t>Avverkning för att bevara och utveckla /försöksver</t>
        </is>
      </c>
      <c r="D298" s="1" t="n">
        <v>46188</v>
      </c>
      <c r="E298" s="1" t="n">
        <v>46282</v>
      </c>
      <c r="F298" t="inlineStr">
        <is>
          <t>ÖSTERGÖTLANDS LÄN</t>
        </is>
      </c>
      <c r="G298" t="inlineStr">
        <is>
          <t>BOXHOLM</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39028-2023</t>
        </is>
      </c>
      <c r="B299" t="inlineStr">
        <is>
          <t>avverkningsanmälan</t>
        </is>
      </c>
      <c r="C299" t="inlineStr">
        <is>
          <t>Föryngringsavverkning</t>
        </is>
      </c>
      <c r="D299" s="1" t="n">
        <v>45163</v>
      </c>
      <c r="E299" s="1" t="n">
        <v>46282</v>
      </c>
      <c r="F299" t="inlineStr">
        <is>
          <t>ÖSTERGÖTLANDS LÄN</t>
        </is>
      </c>
      <c r="G299" t="inlineStr">
        <is>
          <t>BOXHOLM</t>
        </is>
      </c>
      <c r="H299" t="inlineStr">
        <is>
          <t>Allmännings- och besparingsskogar</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31710-2026</t>
        </is>
      </c>
      <c r="B300" t="inlineStr">
        <is>
          <t>avverkningsanmälan</t>
        </is>
      </c>
      <c r="C300" t="inlineStr">
        <is>
          <t>Föryngringsavverkning</t>
        </is>
      </c>
      <c r="D300" s="1" t="n">
        <v>46226</v>
      </c>
      <c r="E300" s="1" t="n">
        <v>46282</v>
      </c>
      <c r="F300" t="inlineStr">
        <is>
          <t>ÖSTERGÖTLANDS LÄN</t>
        </is>
      </c>
      <c r="G300" t="inlineStr">
        <is>
          <t>BOXHOLM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16635-2022</t>
        </is>
      </c>
      <c r="B301" t="inlineStr">
        <is>
          <t>avverkningsanmälan</t>
        </is>
      </c>
      <c r="C301" t="inlineStr">
        <is>
          <t>Föryngringsavverkning</t>
        </is>
      </c>
      <c r="D301" s="1" t="n">
        <v>44672</v>
      </c>
      <c r="E301" s="1" t="n">
        <v>46282</v>
      </c>
      <c r="F301" t="inlineStr">
        <is>
          <t>ÖSTERGÖTLANDS LÄN</t>
        </is>
      </c>
      <c r="G301" t="inlineStr">
        <is>
          <t>BOXHOLM</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31709-2026</t>
        </is>
      </c>
      <c r="B302" t="inlineStr">
        <is>
          <t>avverkningsanmälan</t>
        </is>
      </c>
      <c r="C302" t="inlineStr">
        <is>
          <t>Föryngringsavverkning</t>
        </is>
      </c>
      <c r="D302" s="1" t="n">
        <v>46226</v>
      </c>
      <c r="E302" s="1" t="n">
        <v>46282</v>
      </c>
      <c r="F302" t="inlineStr">
        <is>
          <t>ÖSTERGÖTLANDS LÄN</t>
        </is>
      </c>
      <c r="G302" t="inlineStr">
        <is>
          <t>BOXHOLM</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37087-2026</t>
        </is>
      </c>
      <c r="B303" t="inlineStr">
        <is>
          <t>avverkningsanmälan</t>
        </is>
      </c>
      <c r="C303" t="inlineStr">
        <is>
          <t>Föryngringsavverkning</t>
        </is>
      </c>
      <c r="D303" s="1" t="n">
        <v>46273</v>
      </c>
      <c r="E303" s="1" t="n">
        <v>46282</v>
      </c>
      <c r="F303" t="inlineStr">
        <is>
          <t>ÖSTERGÖTLANDS LÄN</t>
        </is>
      </c>
      <c r="G303" t="inlineStr">
        <is>
          <t>BOXHOLM</t>
        </is>
      </c>
      <c r="H303" t="inlineStr">
        <is>
          <t>Allmännings- och besparingsskogar</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22853-2023</t>
        </is>
      </c>
      <c r="B304" t="inlineStr">
        <is>
          <t>avverkningsanmälan</t>
        </is>
      </c>
      <c r="C304" t="inlineStr">
        <is>
          <t>Föryngringsavverkning</t>
        </is>
      </c>
      <c r="D304" s="1" t="n">
        <v>45072</v>
      </c>
      <c r="E304" s="1" t="n">
        <v>46282</v>
      </c>
      <c r="F304" t="inlineStr">
        <is>
          <t>ÖSTERGÖTLANDS LÄN</t>
        </is>
      </c>
      <c r="G304" t="inlineStr">
        <is>
          <t>BOXHOLM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10331-2024</t>
        </is>
      </c>
      <c r="B305" t="inlineStr">
        <is>
          <t>avverkningsanmälan</t>
        </is>
      </c>
      <c r="C305" t="inlineStr">
        <is>
          <t>Föryngringsavverkning</t>
        </is>
      </c>
      <c r="D305" s="1" t="n">
        <v>45365</v>
      </c>
      <c r="E305" s="1" t="n">
        <v>46282</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49089-2023</t>
        </is>
      </c>
      <c r="B306" t="inlineStr">
        <is>
          <t>avverkningsanmälan</t>
        </is>
      </c>
      <c r="C306" t="inlineStr">
        <is>
          <t>Föryngringsavverkning</t>
        </is>
      </c>
      <c r="D306" s="1" t="n">
        <v>45210</v>
      </c>
      <c r="E306" s="1" t="n">
        <v>46282</v>
      </c>
      <c r="F306" t="inlineStr">
        <is>
          <t>ÖSTERGÖTLANDS LÄN</t>
        </is>
      </c>
      <c r="G306" t="inlineStr">
        <is>
          <t>BOXHOLM</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37099-2026</t>
        </is>
      </c>
      <c r="B307" t="inlineStr">
        <is>
          <t>avverkningsanmälan</t>
        </is>
      </c>
      <c r="C307" t="inlineStr">
        <is>
          <t>Föryngringsavverkning</t>
        </is>
      </c>
      <c r="D307" s="1" t="n">
        <v>46274</v>
      </c>
      <c r="E307" s="1" t="n">
        <v>46282</v>
      </c>
      <c r="F307" t="inlineStr">
        <is>
          <t>ÖSTERGÖTLANDS LÄN</t>
        </is>
      </c>
      <c r="G307" t="inlineStr">
        <is>
          <t>BOXHOLM</t>
        </is>
      </c>
      <c r="H307" t="inlineStr">
        <is>
          <t>Övriga Aktiebolag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2198-2023</t>
        </is>
      </c>
      <c r="B308" t="inlineStr">
        <is>
          <t>avverkningsanmälan</t>
        </is>
      </c>
      <c r="C308" t="inlineStr">
        <is>
          <t>Föryngringsavverkning</t>
        </is>
      </c>
      <c r="D308" s="1" t="n">
        <v>44942</v>
      </c>
      <c r="E308" s="1" t="n">
        <v>46282</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37488-2026</t>
        </is>
      </c>
      <c r="B309" t="inlineStr">
        <is>
          <t>avverkningsanmälan</t>
        </is>
      </c>
      <c r="C309" t="inlineStr">
        <is>
          <t>Föryngringsavverkning</t>
        </is>
      </c>
      <c r="D309" s="1" t="n">
        <v>46275</v>
      </c>
      <c r="E309" s="1" t="n">
        <v>46282</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25431-2023</t>
        </is>
      </c>
      <c r="B310" t="inlineStr">
        <is>
          <t>avverkningsanmälan</t>
        </is>
      </c>
      <c r="C310" t="inlineStr">
        <is>
          <t>Föryngringsavverkning</t>
        </is>
      </c>
      <c r="D310" s="1" t="n">
        <v>45089</v>
      </c>
      <c r="E310" s="1" t="n">
        <v>46282</v>
      </c>
      <c r="F310" t="inlineStr">
        <is>
          <t>ÖSTERGÖTLANDS LÄN</t>
        </is>
      </c>
      <c r="G310" t="inlineStr">
        <is>
          <t>BOXHOLM</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37112-2026</t>
        </is>
      </c>
      <c r="B311" t="inlineStr">
        <is>
          <t>avverkningsanmälan</t>
        </is>
      </c>
      <c r="C311" t="inlineStr">
        <is>
          <t>Föryngringsavverkning</t>
        </is>
      </c>
      <c r="D311" s="1" t="n">
        <v>46274</v>
      </c>
      <c r="E311" s="1" t="n">
        <v>46282</v>
      </c>
      <c r="F311" t="inlineStr">
        <is>
          <t>ÖSTERGÖTLANDS LÄN</t>
        </is>
      </c>
      <c r="G311" t="inlineStr">
        <is>
          <t>BOXHOLM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15501-2023</t>
        </is>
      </c>
      <c r="B312" t="inlineStr">
        <is>
          <t>avverkningsanmälan</t>
        </is>
      </c>
      <c r="C312" t="inlineStr">
        <is>
          <t>Föryngringsavverkning</t>
        </is>
      </c>
      <c r="D312" s="1" t="n">
        <v>45020</v>
      </c>
      <c r="E312" s="1" t="n">
        <v>46282</v>
      </c>
      <c r="F312" t="inlineStr">
        <is>
          <t>ÖSTERGÖTLANDS LÄN</t>
        </is>
      </c>
      <c r="G312" t="inlineStr">
        <is>
          <t>BOXHOLM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15505-2023</t>
        </is>
      </c>
      <c r="B313" t="inlineStr">
        <is>
          <t>avverkningsanmälan</t>
        </is>
      </c>
      <c r="C313" t="inlineStr">
        <is>
          <t>Föryngringsavverkning</t>
        </is>
      </c>
      <c r="D313" s="1" t="n">
        <v>45020</v>
      </c>
      <c r="E313" s="1" t="n">
        <v>46282</v>
      </c>
      <c r="F313" t="inlineStr">
        <is>
          <t>ÖSTERGÖTLANDS LÄN</t>
        </is>
      </c>
      <c r="G313" t="inlineStr">
        <is>
          <t>BOXHOLM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37587-2026</t>
        </is>
      </c>
      <c r="B314" t="inlineStr">
        <is>
          <t>avverkningsanmälan</t>
        </is>
      </c>
      <c r="C314" t="inlineStr">
        <is>
          <t>Avverkning för annat ändamål</t>
        </is>
      </c>
      <c r="D314" s="1" t="n">
        <v>46276</v>
      </c>
      <c r="E314" s="1" t="n">
        <v>46282</v>
      </c>
      <c r="F314" t="inlineStr">
        <is>
          <t>ÖSTERGÖTLANDS LÄN</t>
        </is>
      </c>
      <c r="G314" t="inlineStr">
        <is>
          <t>BOXHOLM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37595-2026</t>
        </is>
      </c>
      <c r="B315" t="inlineStr">
        <is>
          <t>avverkningsanmälan</t>
        </is>
      </c>
      <c r="C315" t="inlineStr">
        <is>
          <t>Avverkning för annat ändamål</t>
        </is>
      </c>
      <c r="D315" s="1" t="n">
        <v>46276</v>
      </c>
      <c r="E315" s="1" t="n">
        <v>46282</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966-2024</t>
        </is>
      </c>
      <c r="B316" t="inlineStr">
        <is>
          <t>avverkningsanmälan</t>
        </is>
      </c>
      <c r="C316" t="inlineStr">
        <is>
          <t>Föryngringsavverkning</t>
        </is>
      </c>
      <c r="D316" s="1" t="n">
        <v>45301</v>
      </c>
      <c r="E316" s="1" t="n">
        <v>46282</v>
      </c>
      <c r="F316" t="inlineStr">
        <is>
          <t>ÖSTERGÖTLANDS LÄN</t>
        </is>
      </c>
      <c r="G316" t="inlineStr">
        <is>
          <t>BOXHOLM</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32354-2026</t>
        </is>
      </c>
      <c r="B317" t="inlineStr">
        <is>
          <t>avverkningsanmälan</t>
        </is>
      </c>
      <c r="C317" t="inlineStr">
        <is>
          <t>Föryngringsavverkning</t>
        </is>
      </c>
      <c r="D317" s="1" t="n">
        <v>46238</v>
      </c>
      <c r="E317" s="1" t="n">
        <v>46282</v>
      </c>
      <c r="F317" t="inlineStr">
        <is>
          <t>ÖSTERGÖTLANDS LÄN</t>
        </is>
      </c>
      <c r="G317" t="inlineStr">
        <is>
          <t>BOXHOLM</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40294-2024</t>
        </is>
      </c>
      <c r="B318" t="inlineStr">
        <is>
          <t>avverkningsanmälan</t>
        </is>
      </c>
      <c r="C318" t="inlineStr">
        <is>
          <t>Föryngringsavverkning</t>
        </is>
      </c>
      <c r="D318" s="1" t="n">
        <v>45554</v>
      </c>
      <c r="E318" s="1" t="n">
        <v>46282</v>
      </c>
      <c r="F318" t="inlineStr">
        <is>
          <t>ÖSTERGÖTLANDS LÄN</t>
        </is>
      </c>
      <c r="G318" t="inlineStr">
        <is>
          <t>BOXHOLM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32545-2026</t>
        </is>
      </c>
      <c r="B319" t="inlineStr">
        <is>
          <t>avverkningsanmälan</t>
        </is>
      </c>
      <c r="C319" t="inlineStr">
        <is>
          <t>Föryngringsavverkning</t>
        </is>
      </c>
      <c r="D319" s="1" t="n">
        <v>46239</v>
      </c>
      <c r="E319" s="1" t="n">
        <v>46282</v>
      </c>
      <c r="F319" t="inlineStr">
        <is>
          <t>ÖSTERGÖTLANDS LÄN</t>
        </is>
      </c>
      <c r="G319" t="inlineStr">
        <is>
          <t>BOXHOLM</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21385-2025</t>
        </is>
      </c>
      <c r="B320" t="inlineStr">
        <is>
          <t>avverkningsanmälan</t>
        </is>
      </c>
      <c r="C320" t="inlineStr">
        <is>
          <t>Föryngringsavverkning</t>
        </is>
      </c>
      <c r="D320" s="1" t="n">
        <v>45782</v>
      </c>
      <c r="E320" s="1" t="n">
        <v>46282</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32459-2026</t>
        </is>
      </c>
      <c r="B321" t="inlineStr">
        <is>
          <t>avverkningsanmälan</t>
        </is>
      </c>
      <c r="C321" t="inlineStr">
        <is>
          <t>Avverkning för annat ändamål</t>
        </is>
      </c>
      <c r="D321" s="1" t="n">
        <v>46239</v>
      </c>
      <c r="E321" s="1" t="n">
        <v>46282</v>
      </c>
      <c r="F321" t="inlineStr">
        <is>
          <t>ÖSTERGÖTLANDS LÄN</t>
        </is>
      </c>
      <c r="G321" t="inlineStr">
        <is>
          <t>BOXHOLM</t>
        </is>
      </c>
      <c r="H321" t="inlineStr">
        <is>
          <t>Övriga Aktiebolag</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32359-2026</t>
        </is>
      </c>
      <c r="B322" t="inlineStr">
        <is>
          <t>avverkningsanmälan</t>
        </is>
      </c>
      <c r="C322" t="inlineStr">
        <is>
          <t>Föryngringsavverkning</t>
        </is>
      </c>
      <c r="D322" s="1" t="n">
        <v>46238</v>
      </c>
      <c r="E322" s="1" t="n">
        <v>46282</v>
      </c>
      <c r="F322" t="inlineStr">
        <is>
          <t>ÖSTERGÖTLANDS LÄN</t>
        </is>
      </c>
      <c r="G322" t="inlineStr">
        <is>
          <t>BOXHOLM</t>
        </is>
      </c>
      <c r="H322" t="inlineStr">
        <is>
          <t>Övriga Aktiebolag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31250-2026</t>
        </is>
      </c>
      <c r="B323" t="inlineStr">
        <is>
          <t>avverkningsanmälan</t>
        </is>
      </c>
      <c r="C323" t="inlineStr">
        <is>
          <t>Föryngringsavverkning</t>
        </is>
      </c>
      <c r="D323" s="1" t="n">
        <v>46218</v>
      </c>
      <c r="E323" s="1" t="n">
        <v>46282</v>
      </c>
      <c r="F323" t="inlineStr">
        <is>
          <t>ÖSTERGÖTLANDS LÄN</t>
        </is>
      </c>
      <c r="G323" t="inlineStr">
        <is>
          <t>BOXHOLM</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6884-2024</t>
        </is>
      </c>
      <c r="B324" t="inlineStr">
        <is>
          <t>avverkningsanmälan</t>
        </is>
      </c>
      <c r="C324" t="inlineStr">
        <is>
          <t>Föryngringsavverkning</t>
        </is>
      </c>
      <c r="D324" s="1" t="n">
        <v>45342</v>
      </c>
      <c r="E324" s="1" t="n">
        <v>46282</v>
      </c>
      <c r="F324" t="inlineStr">
        <is>
          <t>ÖSTERGÖTLANDS LÄN</t>
        </is>
      </c>
      <c r="G324" t="inlineStr">
        <is>
          <t>BOXHOLM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35648-2023</t>
        </is>
      </c>
      <c r="B325" t="inlineStr">
        <is>
          <t>avverkningsanmälan</t>
        </is>
      </c>
      <c r="C325" t="inlineStr">
        <is>
          <t>Föryngringsavverkning</t>
        </is>
      </c>
      <c r="D325" s="1" t="n">
        <v>45147</v>
      </c>
      <c r="E325" s="1" t="n">
        <v>46282</v>
      </c>
      <c r="F325" t="inlineStr">
        <is>
          <t>ÖSTERGÖTLANDS LÄN</t>
        </is>
      </c>
      <c r="G325" t="inlineStr">
        <is>
          <t>BOXHOLM</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24582-2025</t>
        </is>
      </c>
      <c r="B326" t="inlineStr">
        <is>
          <t>avverkningsanmälan</t>
        </is>
      </c>
      <c r="C326" t="inlineStr">
        <is>
          <t>Föryngringsavverkning</t>
        </is>
      </c>
      <c r="D326" s="1" t="n">
        <v>45797</v>
      </c>
      <c r="E326" s="1" t="n">
        <v>46282</v>
      </c>
      <c r="F326" t="inlineStr">
        <is>
          <t>ÖSTERGÖTLANDS LÄN</t>
        </is>
      </c>
      <c r="G326" t="inlineStr">
        <is>
          <t>BOXHOLM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24325-2025</t>
        </is>
      </c>
      <c r="B327" t="inlineStr">
        <is>
          <t>avverkningsanmälan</t>
        </is>
      </c>
      <c r="C327" t="inlineStr">
        <is>
          <t>Föryngringsavverkning</t>
        </is>
      </c>
      <c r="D327" s="1" t="n">
        <v>45797</v>
      </c>
      <c r="E327" s="1" t="n">
        <v>46282</v>
      </c>
      <c r="F327" t="inlineStr">
        <is>
          <t>ÖSTERGÖTLANDS LÄN</t>
        </is>
      </c>
      <c r="G327" t="inlineStr">
        <is>
          <t>BOXHOLM</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46282</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46282</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46282</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46282</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46282</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46282</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46282</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46282</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2026-09-17T02:00:17Z</dcterms:created>
  <dcterms:modified xmlns:dcterms="http://purl.org/dc/terms/" xmlns:xsi="http://www.w3.org/2001/XMLSchema-instance" xsi:type="dcterms:W3CDTF">2026-09-17T02:00:18Z</dcterms:modified>
</cp:coreProperties>
</file>