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45877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45877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45877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45877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45877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45877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45877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</v>
      </c>
      <c r="C9" s="1" t="n">
        <v>45877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HYPERLINK("https://klasma.github.io/Logging_050560/artfynd/A 36575-2025 artfynd.xlsx", "A 36575-2025")</f>
        <v/>
      </c>
      <c r="T9">
        <f>HYPERLINK("https://klasma.github.io/Logging_050560/kartor/A 36575-2025 karta.png", "A 36575-2025")</f>
        <v/>
      </c>
      <c r="V9">
        <f>HYPERLINK("https://klasma.github.io/Logging_050560/klagomål/A 36575-2025 FSC-klagomål.docx", "A 36575-2025")</f>
        <v/>
      </c>
      <c r="W9">
        <f>HYPERLINK("https://klasma.github.io/Logging_050560/klagomålsmail/A 36575-2025 FSC-klagomål mail.docx", "A 36575-2025")</f>
        <v/>
      </c>
      <c r="X9">
        <f>HYPERLINK("https://klasma.github.io/Logging_050560/tillsyn/A 36575-2025 tillsynsbegäran.docx", "A 36575-2025")</f>
        <v/>
      </c>
      <c r="Y9">
        <f>HYPERLINK("https://klasma.github.io/Logging_050560/tillsynsmail/A 36575-2025 tillsynsbegäran mail.docx", "A 36575-2025")</f>
        <v/>
      </c>
    </row>
    <row r="10" ht="15" customHeight="1">
      <c r="A10" t="inlineStr">
        <is>
          <t>A 71028-2021</t>
        </is>
      </c>
      <c r="B10" s="1" t="n">
        <v>44537</v>
      </c>
      <c r="C10" s="1" t="n">
        <v>45877</v>
      </c>
      <c r="D10" t="inlineStr">
        <is>
          <t>ÖSTERGÖTLANDS LÄN</t>
        </is>
      </c>
      <c r="E10" t="inlineStr">
        <is>
          <t>BOXHOLM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Bredgentiana
Jordtistel</t>
        </is>
      </c>
      <c r="S10">
        <f>HYPERLINK("https://klasma.github.io/Logging_0560/artfynd/A 71028-2021 artfynd.xlsx", "A 71028-2021")</f>
        <v/>
      </c>
      <c r="T10">
        <f>HYPERLINK("https://klasma.github.io/Logging_0560/kartor/A 71028-2021 karta.png", "A 71028-2021")</f>
        <v/>
      </c>
      <c r="V10">
        <f>HYPERLINK("https://klasma.github.io/Logging_0560/klagomål/A 71028-2021 FSC-klagomål.docx", "A 71028-2021")</f>
        <v/>
      </c>
      <c r="W10">
        <f>HYPERLINK("https://klasma.github.io/Logging_0560/klagomålsmail/A 71028-2021 FSC-klagomål mail.docx", "A 71028-2021")</f>
        <v/>
      </c>
      <c r="X10">
        <f>HYPERLINK("https://klasma.github.io/Logging_0560/tillsyn/A 71028-2021 tillsynsbegäran.docx", "A 71028-2021")</f>
        <v/>
      </c>
      <c r="Y10">
        <f>HYPERLINK("https://klasma.github.io/Logging_0560/tillsynsmail/A 71028-2021 tillsynsbegäran mail.docx", "A 71028-2021")</f>
        <v/>
      </c>
    </row>
    <row r="11" ht="15" customHeight="1">
      <c r="A11" t="inlineStr">
        <is>
          <t>A 28308-2022</t>
        </is>
      </c>
      <c r="B11" s="1" t="n">
        <v>44747</v>
      </c>
      <c r="C11" s="1" t="n">
        <v>45877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Blåsippa</t>
        </is>
      </c>
      <c r="S11">
        <f>HYPERLINK("https://klasma.github.io/Logging_0560/artfynd/A 28308-2022 artfynd.xlsx", "A 28308-2022")</f>
        <v/>
      </c>
      <c r="T11">
        <f>HYPERLINK("https://klasma.github.io/Logging_0560/kartor/A 28308-2022 karta.png", "A 28308-2022")</f>
        <v/>
      </c>
      <c r="V11">
        <f>HYPERLINK("https://klasma.github.io/Logging_0560/klagomål/A 28308-2022 FSC-klagomål.docx", "A 28308-2022")</f>
        <v/>
      </c>
      <c r="W11">
        <f>HYPERLINK("https://klasma.github.io/Logging_0560/klagomålsmail/A 28308-2022 FSC-klagomål mail.docx", "A 28308-2022")</f>
        <v/>
      </c>
      <c r="X11">
        <f>HYPERLINK("https://klasma.github.io/Logging_0560/tillsyn/A 28308-2022 tillsynsbegäran.docx", "A 28308-2022")</f>
        <v/>
      </c>
      <c r="Y11">
        <f>HYPERLINK("https://klasma.github.io/Logging_0560/tillsynsmail/A 28308-2022 tillsynsbegäran mail.docx", "A 28308-2022")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45877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1904-2024</t>
        </is>
      </c>
      <c r="B13" s="1" t="n">
        <v>45308</v>
      </c>
      <c r="C13" s="1" t="n">
        <v>45877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Vanlig padda</t>
        </is>
      </c>
      <c r="S13">
        <f>HYPERLINK("https://klasma.github.io/Logging_0560/artfynd/A 1904-2024 artfynd.xlsx", "A 1904-2024")</f>
        <v/>
      </c>
      <c r="T13">
        <f>HYPERLINK("https://klasma.github.io/Logging_0560/kartor/A 1904-2024 karta.png", "A 1904-2024")</f>
        <v/>
      </c>
      <c r="V13">
        <f>HYPERLINK("https://klasma.github.io/Logging_0560/klagomål/A 1904-2024 FSC-klagomål.docx", "A 1904-2024")</f>
        <v/>
      </c>
      <c r="W13">
        <f>HYPERLINK("https://klasma.github.io/Logging_0560/klagomålsmail/A 1904-2024 FSC-klagomål mail.docx", "A 1904-2024")</f>
        <v/>
      </c>
      <c r="X13">
        <f>HYPERLINK("https://klasma.github.io/Logging_0560/tillsyn/A 1904-2024 tillsynsbegäran.docx", "A 1904-2024")</f>
        <v/>
      </c>
      <c r="Y13">
        <f>HYPERLINK("https://klasma.github.io/Logging_0560/tillsynsmail/A 1904-2024 tillsynsbegäran mail.docx", "A 1904-2024")</f>
        <v/>
      </c>
    </row>
    <row r="14" ht="15" customHeight="1">
      <c r="A14" t="inlineStr">
        <is>
          <t>A 25312-2019</t>
        </is>
      </c>
      <c r="B14" s="1" t="n">
        <v>43606</v>
      </c>
      <c r="C14" s="1" t="n">
        <v>45877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9.6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HYPERLINK("https://klasma.github.io/Logging_0560/artfynd/A 25312-2019 artfynd.xlsx", "A 25312-2019")</f>
        <v/>
      </c>
      <c r="T14">
        <f>HYPERLINK("https://klasma.github.io/Logging_0560/kartor/A 25312-2019 karta.png", "A 25312-2019")</f>
        <v/>
      </c>
      <c r="V14">
        <f>HYPERLINK("https://klasma.github.io/Logging_0560/klagomål/A 25312-2019 FSC-klagomål.docx", "A 25312-2019")</f>
        <v/>
      </c>
      <c r="W14">
        <f>HYPERLINK("https://klasma.github.io/Logging_0560/klagomålsmail/A 25312-2019 FSC-klagomål mail.docx", "A 25312-2019")</f>
        <v/>
      </c>
      <c r="X14">
        <f>HYPERLINK("https://klasma.github.io/Logging_0560/tillsyn/A 25312-2019 tillsynsbegäran.docx", "A 25312-2019")</f>
        <v/>
      </c>
      <c r="Y14">
        <f>HYPERLINK("https://klasma.github.io/Logging_0560/tillsynsmail/A 25312-2019 tillsynsbegäran mail.docx", "A 25312-2019")</f>
        <v/>
      </c>
    </row>
    <row r="15" ht="15" customHeight="1">
      <c r="A15" t="inlineStr">
        <is>
          <t>A 49510-2019</t>
        </is>
      </c>
      <c r="B15" s="1" t="n">
        <v>43732</v>
      </c>
      <c r="C15" s="1" t="n">
        <v>45877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HYPERLINK("https://klasma.github.io/Logging_0560/artfynd/A 49510-2019 artfynd.xlsx", "A 49510-2019")</f>
        <v/>
      </c>
      <c r="T15">
        <f>HYPERLINK("https://klasma.github.io/Logging_0560/kartor/A 49510-2019 karta.png", "A 49510-2019")</f>
        <v/>
      </c>
      <c r="V15">
        <f>HYPERLINK("https://klasma.github.io/Logging_0560/klagomål/A 49510-2019 FSC-klagomål.docx", "A 49510-2019")</f>
        <v/>
      </c>
      <c r="W15">
        <f>HYPERLINK("https://klasma.github.io/Logging_0560/klagomålsmail/A 49510-2019 FSC-klagomål mail.docx", "A 49510-2019")</f>
        <v/>
      </c>
      <c r="X15">
        <f>HYPERLINK("https://klasma.github.io/Logging_0560/tillsyn/A 49510-2019 tillsynsbegäran.docx", "A 49510-2019")</f>
        <v/>
      </c>
      <c r="Y15">
        <f>HYPERLINK("https://klasma.github.io/Logging_0560/tillsynsmail/A 49510-2019 tillsynsbegäran mail.docx", "A 49510-2019")</f>
        <v/>
      </c>
    </row>
    <row r="16" ht="15" customHeight="1">
      <c r="A16" t="inlineStr">
        <is>
          <t>A 53268-2020</t>
        </is>
      </c>
      <c r="B16" s="1" t="n">
        <v>44123</v>
      </c>
      <c r="C16" s="1" t="n">
        <v>45877</v>
      </c>
      <c r="D16" t="inlineStr">
        <is>
          <t>ÖSTERGÖTLANDS LÄN</t>
        </is>
      </c>
      <c r="E16" t="inlineStr">
        <is>
          <t>BOXHOLM</t>
        </is>
      </c>
      <c r="G16" t="n">
        <v>1.3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53268-2020 artfynd.xlsx", "A 53268-2020")</f>
        <v/>
      </c>
      <c r="T16">
        <f>HYPERLINK("https://klasma.github.io/Logging_0560/kartor/A 53268-2020 karta.png", "A 53268-2020")</f>
        <v/>
      </c>
      <c r="U16">
        <f>HYPERLINK("https://klasma.github.io/Logging_0560/knärot/A 53268-2020 karta knärot.png", "A 53268-2020")</f>
        <v/>
      </c>
      <c r="V16">
        <f>HYPERLINK("https://klasma.github.io/Logging_0560/klagomål/A 53268-2020 FSC-klagomål.docx", "A 53268-2020")</f>
        <v/>
      </c>
      <c r="W16">
        <f>HYPERLINK("https://klasma.github.io/Logging_0560/klagomålsmail/A 53268-2020 FSC-klagomål mail.docx", "A 53268-2020")</f>
        <v/>
      </c>
      <c r="X16">
        <f>HYPERLINK("https://klasma.github.io/Logging_0560/tillsyn/A 53268-2020 tillsynsbegäran.docx", "A 53268-2020")</f>
        <v/>
      </c>
      <c r="Y16">
        <f>HYPERLINK("https://klasma.github.io/Logging_0560/tillsynsmail/A 53268-2020 tillsynsbegäran mail.docx", "A 53268-2020")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45877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5001-2022</t>
        </is>
      </c>
      <c r="B18" s="1" t="n">
        <v>44593</v>
      </c>
      <c r="C18" s="1" t="n">
        <v>45877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51149-2022</t>
        </is>
      </c>
      <c r="B19" s="1" t="n">
        <v>44868</v>
      </c>
      <c r="C19" s="1" t="n">
        <v>45877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HYPERLINK("https://klasma.github.io/Logging_0560/artfynd/A 51149-2022 artfynd.xlsx", "A 51149-2022")</f>
        <v/>
      </c>
      <c r="T19">
        <f>HYPERLINK("https://klasma.github.io/Logging_0560/kartor/A 51149-2022 karta.png", "A 51149-2022")</f>
        <v/>
      </c>
      <c r="V19">
        <f>HYPERLINK("https://klasma.github.io/Logging_0560/klagomål/A 51149-2022 FSC-klagomål.docx", "A 51149-2022")</f>
        <v/>
      </c>
      <c r="W19">
        <f>HYPERLINK("https://klasma.github.io/Logging_0560/klagomålsmail/A 51149-2022 FSC-klagomål mail.docx", "A 51149-2022")</f>
        <v/>
      </c>
      <c r="X19">
        <f>HYPERLINK("https://klasma.github.io/Logging_0560/tillsyn/A 51149-2022 tillsynsbegäran.docx", "A 51149-2022")</f>
        <v/>
      </c>
      <c r="Y19">
        <f>HYPERLINK("https://klasma.github.io/Logging_0560/tillsynsmail/A 51149-2022 tillsynsbegäran mail.docx", "A 51149-2022")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45877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10162-2024</t>
        </is>
      </c>
      <c r="B21" s="1" t="n">
        <v>45364</v>
      </c>
      <c r="C21" s="1" t="n">
        <v>45877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HYPERLINK("https://klasma.github.io/Logging_0560/artfynd/A 10162-2024 artfynd.xlsx", "A 10162-2024")</f>
        <v/>
      </c>
      <c r="T21">
        <f>HYPERLINK("https://klasma.github.io/Logging_0560/kartor/A 10162-2024 karta.png", "A 10162-2024")</f>
        <v/>
      </c>
      <c r="V21">
        <f>HYPERLINK("https://klasma.github.io/Logging_0560/klagomål/A 10162-2024 FSC-klagomål.docx", "A 10162-2024")</f>
        <v/>
      </c>
      <c r="W21">
        <f>HYPERLINK("https://klasma.github.io/Logging_0560/klagomålsmail/A 10162-2024 FSC-klagomål mail.docx", "A 10162-2024")</f>
        <v/>
      </c>
      <c r="X21">
        <f>HYPERLINK("https://klasma.github.io/Logging_0560/tillsyn/A 10162-2024 tillsynsbegäran.docx", "A 10162-2024")</f>
        <v/>
      </c>
      <c r="Y21">
        <f>HYPERLINK("https://klasma.github.io/Logging_0560/tillsynsmail/A 10162-2024 tillsynsbegäran mail.docx", "A 10162-2024")</f>
        <v/>
      </c>
    </row>
    <row r="22" ht="15" customHeight="1">
      <c r="A22" t="inlineStr">
        <is>
          <t>A 10733-2024</t>
        </is>
      </c>
      <c r="B22" s="1" t="n">
        <v>45369</v>
      </c>
      <c r="C22" s="1" t="n">
        <v>45877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29912-2024</t>
        </is>
      </c>
      <c r="B23" s="1" t="n">
        <v>45487</v>
      </c>
      <c r="C23" s="1" t="n">
        <v>45877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HYPERLINK("https://klasma.github.io/Logging_0560/artfynd/A 29912-2024 artfynd.xlsx", "A 29912-2024")</f>
        <v/>
      </c>
      <c r="T23">
        <f>HYPERLINK("https://klasma.github.io/Logging_0560/kartor/A 29912-2024 karta.png", "A 29912-2024")</f>
        <v/>
      </c>
      <c r="V23">
        <f>HYPERLINK("https://klasma.github.io/Logging_0560/klagomål/A 29912-2024 FSC-klagomål.docx", "A 29912-2024")</f>
        <v/>
      </c>
      <c r="W23">
        <f>HYPERLINK("https://klasma.github.io/Logging_0560/klagomålsmail/A 29912-2024 FSC-klagomål mail.docx", "A 29912-2024")</f>
        <v/>
      </c>
      <c r="X23">
        <f>HYPERLINK("https://klasma.github.io/Logging_0560/tillsyn/A 29912-2024 tillsynsbegäran.docx", "A 29912-2024")</f>
        <v/>
      </c>
      <c r="Y23">
        <f>HYPERLINK("https://klasma.github.io/Logging_0560/tillsynsmail/A 29912-2024 tillsynsbegäran mail.docx", "A 29912-2024")</f>
        <v/>
      </c>
    </row>
    <row r="24" ht="15" customHeight="1">
      <c r="A24" t="inlineStr">
        <is>
          <t>A 52847-2024</t>
        </is>
      </c>
      <c r="B24" s="1" t="n">
        <v>45610</v>
      </c>
      <c r="C24" s="1" t="n">
        <v>45877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8171-2025</t>
        </is>
      </c>
      <c r="B25" s="1" t="n">
        <v>45708</v>
      </c>
      <c r="C25" s="1" t="n">
        <v>45877</v>
      </c>
      <c r="D25" t="inlineStr">
        <is>
          <t>ÖSTERGÖTLANDS LÄN</t>
        </is>
      </c>
      <c r="E25" t="inlineStr">
        <is>
          <t>BOXHOLM</t>
        </is>
      </c>
      <c r="F25" t="inlineStr">
        <is>
          <t>Kyrkan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HYPERLINK("https://klasma.github.io/Logging_0560/artfynd/A 8171-2025 artfynd.xlsx", "A 8171-2025")</f>
        <v/>
      </c>
      <c r="T25">
        <f>HYPERLINK("https://klasma.github.io/Logging_0560/kartor/A 8171-2025 karta.png", "A 8171-2025")</f>
        <v/>
      </c>
      <c r="V25">
        <f>HYPERLINK("https://klasma.github.io/Logging_0560/klagomål/A 8171-2025 FSC-klagomål.docx", "A 8171-2025")</f>
        <v/>
      </c>
      <c r="W25">
        <f>HYPERLINK("https://klasma.github.io/Logging_0560/klagomålsmail/A 8171-2025 FSC-klagomål mail.docx", "A 8171-2025")</f>
        <v/>
      </c>
      <c r="X25">
        <f>HYPERLINK("https://klasma.github.io/Logging_0560/tillsyn/A 8171-2025 tillsynsbegäran.docx", "A 8171-2025")</f>
        <v/>
      </c>
      <c r="Y25">
        <f>HYPERLINK("https://klasma.github.io/Logging_0560/tillsynsmail/A 8171-2025 tillsynsbegäran mail.docx", "A 8171-2025")</f>
        <v/>
      </c>
    </row>
    <row r="26" ht="15" customHeight="1">
      <c r="A26" t="inlineStr">
        <is>
          <t>A 27418-2025</t>
        </is>
      </c>
      <c r="B26" s="1" t="n">
        <v>45812</v>
      </c>
      <c r="C26" s="1" t="n">
        <v>45877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HYPERLINK("https://klasma.github.io/Logging_050560/artfynd/A 27418-2025 artfynd.xlsx", "A 27418-2025")</f>
        <v/>
      </c>
      <c r="T26">
        <f>HYPERLINK("https://klasma.github.io/Logging_050560/kartor/A 27418-2025 karta.png", "A 27418-2025")</f>
        <v/>
      </c>
      <c r="V26">
        <f>HYPERLINK("https://klasma.github.io/Logging_050560/klagomål/A 27418-2025 FSC-klagomål.docx", "A 27418-2025")</f>
        <v/>
      </c>
      <c r="W26">
        <f>HYPERLINK("https://klasma.github.io/Logging_050560/klagomålsmail/A 27418-2025 FSC-klagomål mail.docx", "A 27418-2025")</f>
        <v/>
      </c>
      <c r="X26">
        <f>HYPERLINK("https://klasma.github.io/Logging_050560/tillsyn/A 27418-2025 tillsynsbegäran.docx", "A 27418-2025")</f>
        <v/>
      </c>
      <c r="Y26">
        <f>HYPERLINK("https://klasma.github.io/Logging_050560/tillsynsmail/A 27418-2025 tillsynsbegäran mail.docx", "A 27418-2025")</f>
        <v/>
      </c>
    </row>
    <row r="27" ht="15" customHeight="1">
      <c r="A27" t="inlineStr">
        <is>
          <t>A 36475-2025</t>
        </is>
      </c>
      <c r="B27" s="1" t="n">
        <v>45869</v>
      </c>
      <c r="C27" s="1" t="n">
        <v>45877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HYPERLINK("https://klasma.github.io/Logging_050560/artfynd/A 36475-2025 artfynd.xlsx", "A 36475-2025")</f>
        <v/>
      </c>
      <c r="T27">
        <f>HYPERLINK("https://klasma.github.io/Logging_050560/kartor/A 36475-2025 karta.png", "A 36475-2025")</f>
        <v/>
      </c>
      <c r="V27">
        <f>HYPERLINK("https://klasma.github.io/Logging_050560/klagomål/A 36475-2025 FSC-klagomål.docx", "A 36475-2025")</f>
        <v/>
      </c>
      <c r="W27">
        <f>HYPERLINK("https://klasma.github.io/Logging_050560/klagomålsmail/A 36475-2025 FSC-klagomål mail.docx", "A 36475-2025")</f>
        <v/>
      </c>
      <c r="X27">
        <f>HYPERLINK("https://klasma.github.io/Logging_050560/tillsyn/A 36475-2025 tillsynsbegäran.docx", "A 36475-2025")</f>
        <v/>
      </c>
      <c r="Y27">
        <f>HYPERLINK("https://klasma.github.io/Logging_050560/tillsynsmail/A 36475-2025 tillsynsbegäran mail.docx", "A 36475-2025")</f>
        <v/>
      </c>
    </row>
    <row r="28" ht="15" customHeight="1">
      <c r="A28" t="inlineStr">
        <is>
          <t>A 18717-2019</t>
        </is>
      </c>
      <c r="B28" s="1" t="n">
        <v>43560</v>
      </c>
      <c r="C28" s="1" t="n">
        <v>45877</v>
      </c>
      <c r="D28" t="inlineStr">
        <is>
          <t>ÖSTERGÖTLANDS LÄN</t>
        </is>
      </c>
      <c r="E28" t="inlineStr">
        <is>
          <t>BOXHOLM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19337-2019</t>
        </is>
      </c>
      <c r="B29" s="1" t="n">
        <v>43565</v>
      </c>
      <c r="C29" s="1" t="n">
        <v>45877</v>
      </c>
      <c r="D29" t="inlineStr">
        <is>
          <t>ÖSTERGÖTLANDS LÄN</t>
        </is>
      </c>
      <c r="E29" t="inlineStr">
        <is>
          <t>BOXHOLM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22010-2019</t>
        </is>
      </c>
      <c r="B30" s="1" t="n">
        <v>43584</v>
      </c>
      <c r="C30" s="1" t="n">
        <v>45877</v>
      </c>
      <c r="D30" t="inlineStr">
        <is>
          <t>ÖSTERGÖTLANDS LÄN</t>
        </is>
      </c>
      <c r="E30" t="inlineStr">
        <is>
          <t>BOXHOLM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22553-2019</t>
        </is>
      </c>
      <c r="B31" s="1" t="n">
        <v>43587</v>
      </c>
      <c r="C31" s="1" t="n">
        <v>45877</v>
      </c>
      <c r="D31" t="inlineStr">
        <is>
          <t>ÖSTERGÖTLANDS LÄN</t>
        </is>
      </c>
      <c r="E31" t="inlineStr">
        <is>
          <t>BOXHOLM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23101-2019</t>
        </is>
      </c>
      <c r="B32" s="1" t="n">
        <v>43592</v>
      </c>
      <c r="C32" s="1" t="n">
        <v>45877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30246-2019</t>
        </is>
      </c>
      <c r="B33" s="1" t="n">
        <v>43634</v>
      </c>
      <c r="C33" s="1" t="n">
        <v>45877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32667-2019</t>
        </is>
      </c>
      <c r="B34" s="1" t="n">
        <v>43647</v>
      </c>
      <c r="C34" s="1" t="n">
        <v>45877</v>
      </c>
      <c r="D34" t="inlineStr">
        <is>
          <t>ÖSTERGÖTLANDS LÄN</t>
        </is>
      </c>
      <c r="E34" t="inlineStr">
        <is>
          <t>BOXHOLM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34252-2019</t>
        </is>
      </c>
      <c r="B35" s="1" t="n">
        <v>43655</v>
      </c>
      <c r="C35" s="1" t="n">
        <v>45877</v>
      </c>
      <c r="D35" t="inlineStr">
        <is>
          <t>ÖSTERGÖTLANDS LÄN</t>
        </is>
      </c>
      <c r="E35" t="inlineStr">
        <is>
          <t>BOXHOLM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36911-2019</t>
        </is>
      </c>
      <c r="B36" s="1" t="n">
        <v>43675</v>
      </c>
      <c r="C36" s="1" t="n">
        <v>45877</v>
      </c>
      <c r="D36" t="inlineStr">
        <is>
          <t>ÖSTERGÖTLANDS LÄN</t>
        </is>
      </c>
      <c r="E36" t="inlineStr">
        <is>
          <t>BOXHOLM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36908-2019</t>
        </is>
      </c>
      <c r="B37" s="1" t="n">
        <v>43675</v>
      </c>
      <c r="C37" s="1" t="n">
        <v>45877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37975-2019</t>
        </is>
      </c>
      <c r="B38" s="1" t="n">
        <v>43683</v>
      </c>
      <c r="C38" s="1" t="n">
        <v>45877</v>
      </c>
      <c r="D38" t="inlineStr">
        <is>
          <t>ÖSTERGÖTLANDS LÄN</t>
        </is>
      </c>
      <c r="E38" t="inlineStr">
        <is>
          <t>BOXHOLM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38801-2019</t>
        </is>
      </c>
      <c r="B39" s="1" t="n">
        <v>43688</v>
      </c>
      <c r="C39" s="1" t="n">
        <v>45877</v>
      </c>
      <c r="D39" t="inlineStr">
        <is>
          <t>ÖSTERGÖTLANDS LÄN</t>
        </is>
      </c>
      <c r="E39" t="inlineStr">
        <is>
          <t>BOXHOLM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40573-2019</t>
        </is>
      </c>
      <c r="B40" s="1" t="n">
        <v>43696</v>
      </c>
      <c r="C40" s="1" t="n">
        <v>45877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40650-2019</t>
        </is>
      </c>
      <c r="B41" s="1" t="n">
        <v>43696</v>
      </c>
      <c r="C41" s="1" t="n">
        <v>45877</v>
      </c>
      <c r="D41" t="inlineStr">
        <is>
          <t>ÖSTERGÖTLANDS LÄN</t>
        </is>
      </c>
      <c r="E41" t="inlineStr">
        <is>
          <t>BOXHOLM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40570-2019</t>
        </is>
      </c>
      <c r="B42" s="1" t="n">
        <v>43696</v>
      </c>
      <c r="C42" s="1" t="n">
        <v>45877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40559-2019</t>
        </is>
      </c>
      <c r="B43" s="1" t="n">
        <v>43696</v>
      </c>
      <c r="C43" s="1" t="n">
        <v>45877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41005-2019</t>
        </is>
      </c>
      <c r="B44" s="1" t="n">
        <v>43697</v>
      </c>
      <c r="C44" s="1" t="n">
        <v>45877</v>
      </c>
      <c r="D44" t="inlineStr">
        <is>
          <t>ÖSTERGÖTLANDS LÄN</t>
        </is>
      </c>
      <c r="E44" t="inlineStr">
        <is>
          <t>BOXHOLM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44274-2019</t>
        </is>
      </c>
      <c r="B45" s="1" t="n">
        <v>43710</v>
      </c>
      <c r="C45" s="1" t="n">
        <v>45877</v>
      </c>
      <c r="D45" t="inlineStr">
        <is>
          <t>ÖSTERGÖTLANDS LÄN</t>
        </is>
      </c>
      <c r="E45" t="inlineStr">
        <is>
          <t>BOXHOLM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44489-2019</t>
        </is>
      </c>
      <c r="B46" s="1" t="n">
        <v>43711</v>
      </c>
      <c r="C46" s="1" t="n">
        <v>45877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45641-2019</t>
        </is>
      </c>
      <c r="B47" s="1" t="n">
        <v>43717</v>
      </c>
      <c r="C47" s="1" t="n">
        <v>45877</v>
      </c>
      <c r="D47" t="inlineStr">
        <is>
          <t>ÖSTERGÖTLANDS LÄN</t>
        </is>
      </c>
      <c r="E47" t="inlineStr">
        <is>
          <t>BOXHOLM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45702-2019</t>
        </is>
      </c>
      <c r="B48" s="1" t="n">
        <v>43717</v>
      </c>
      <c r="C48" s="1" t="n">
        <v>45877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45723-2019</t>
        </is>
      </c>
      <c r="B49" s="1" t="n">
        <v>43717</v>
      </c>
      <c r="C49" s="1" t="n">
        <v>45877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49064-2019</t>
        </is>
      </c>
      <c r="B50" s="1" t="n">
        <v>43731</v>
      </c>
      <c r="C50" s="1" t="n">
        <v>45877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49299-2019</t>
        </is>
      </c>
      <c r="B51" s="1" t="n">
        <v>43731</v>
      </c>
      <c r="C51" s="1" t="n">
        <v>45877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49740-2019</t>
        </is>
      </c>
      <c r="B52" s="1" t="n">
        <v>43733</v>
      </c>
      <c r="C52" s="1" t="n">
        <v>45877</v>
      </c>
      <c r="D52" t="inlineStr">
        <is>
          <t>ÖSTERGÖTLANDS LÄN</t>
        </is>
      </c>
      <c r="E52" t="inlineStr">
        <is>
          <t>BOXHOLM</t>
        </is>
      </c>
      <c r="F52" t="inlineStr">
        <is>
          <t>Allmännings- och besparingsskogar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49762-2019</t>
        </is>
      </c>
      <c r="B53" s="1" t="n">
        <v>43733</v>
      </c>
      <c r="C53" s="1" t="n">
        <v>45877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51881-2019</t>
        </is>
      </c>
      <c r="B54" s="1" t="n">
        <v>43741</v>
      </c>
      <c r="C54" s="1" t="n">
        <v>45877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55752-2019</t>
        </is>
      </c>
      <c r="B55" s="1" t="n">
        <v>43759</v>
      </c>
      <c r="C55" s="1" t="n">
        <v>45877</v>
      </c>
      <c r="D55" t="inlineStr">
        <is>
          <t>ÖSTERGÖTLANDS LÄN</t>
        </is>
      </c>
      <c r="E55" t="inlineStr">
        <is>
          <t>BOXHOLM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55825-2019</t>
        </is>
      </c>
      <c r="B56" s="1" t="n">
        <v>43759</v>
      </c>
      <c r="C56" s="1" t="n">
        <v>45877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56069-2019</t>
        </is>
      </c>
      <c r="B57" s="1" t="n">
        <v>43761</v>
      </c>
      <c r="C57" s="1" t="n">
        <v>45877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56384-2019</t>
        </is>
      </c>
      <c r="B58" s="1" t="n">
        <v>43762</v>
      </c>
      <c r="C58" s="1" t="n">
        <v>45877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58684-2019</t>
        </is>
      </c>
      <c r="B59" s="1" t="n">
        <v>43773</v>
      </c>
      <c r="C59" s="1" t="n">
        <v>45877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58752-2019</t>
        </is>
      </c>
      <c r="B60" s="1" t="n">
        <v>43773</v>
      </c>
      <c r="C60" s="1" t="n">
        <v>45877</v>
      </c>
      <c r="D60" t="inlineStr">
        <is>
          <t>ÖSTERGÖTLANDS LÄN</t>
        </is>
      </c>
      <c r="E60" t="inlineStr">
        <is>
          <t>BOXHOLM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65417-2019</t>
        </is>
      </c>
      <c r="B61" s="1" t="n">
        <v>43803</v>
      </c>
      <c r="C61" s="1" t="n">
        <v>45877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67473-2019</t>
        </is>
      </c>
      <c r="B62" s="1" t="n">
        <v>43814</v>
      </c>
      <c r="C62" s="1" t="n">
        <v>45877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192-2020</t>
        </is>
      </c>
      <c r="B63" s="1" t="n">
        <v>43833</v>
      </c>
      <c r="C63" s="1" t="n">
        <v>45877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3408-2020</t>
        </is>
      </c>
      <c r="B64" s="1" t="n">
        <v>43852</v>
      </c>
      <c r="C64" s="1" t="n">
        <v>45877</v>
      </c>
      <c r="D64" t="inlineStr">
        <is>
          <t>ÖSTERGÖTLANDS LÄN</t>
        </is>
      </c>
      <c r="E64" t="inlineStr">
        <is>
          <t>BOXHOLM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3613-2020</t>
        </is>
      </c>
      <c r="B65" s="1" t="n">
        <v>43853</v>
      </c>
      <c r="C65" s="1" t="n">
        <v>45877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5512-2020</t>
        </is>
      </c>
      <c r="B66" s="1" t="n">
        <v>43861</v>
      </c>
      <c r="C66" s="1" t="n">
        <v>45877</v>
      </c>
      <c r="D66" t="inlineStr">
        <is>
          <t>ÖSTERGÖTLANDS LÄN</t>
        </is>
      </c>
      <c r="E66" t="inlineStr">
        <is>
          <t>BOXHOLM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6076-2020</t>
        </is>
      </c>
      <c r="B67" s="1" t="n">
        <v>43865</v>
      </c>
      <c r="C67" s="1" t="n">
        <v>45877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5979-2020</t>
        </is>
      </c>
      <c r="B68" s="1" t="n">
        <v>43865</v>
      </c>
      <c r="C68" s="1" t="n">
        <v>45877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7384-2020</t>
        </is>
      </c>
      <c r="B69" s="1" t="n">
        <v>43871</v>
      </c>
      <c r="C69" s="1" t="n">
        <v>45877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8589-2020</t>
        </is>
      </c>
      <c r="B70" s="1" t="n">
        <v>43875</v>
      </c>
      <c r="C70" s="1" t="n">
        <v>45877</v>
      </c>
      <c r="D70" t="inlineStr">
        <is>
          <t>ÖSTERGÖTLANDS LÄN</t>
        </is>
      </c>
      <c r="E70" t="inlineStr">
        <is>
          <t>BOXHOLM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8910-2020</t>
        </is>
      </c>
      <c r="B71" s="1" t="n">
        <v>43878</v>
      </c>
      <c r="C71" s="1" t="n">
        <v>45877</v>
      </c>
      <c r="D71" t="inlineStr">
        <is>
          <t>ÖSTERGÖTLANDS LÄN</t>
        </is>
      </c>
      <c r="E71" t="inlineStr">
        <is>
          <t>BOXHOLM</t>
        </is>
      </c>
      <c r="G71" t="n">
        <v>19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9089-2020</t>
        </is>
      </c>
      <c r="B72" s="1" t="n">
        <v>43879</v>
      </c>
      <c r="C72" s="1" t="n">
        <v>45877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9002-2020</t>
        </is>
      </c>
      <c r="B73" s="1" t="n">
        <v>43879</v>
      </c>
      <c r="C73" s="1" t="n">
        <v>45877</v>
      </c>
      <c r="D73" t="inlineStr">
        <is>
          <t>ÖSTERGÖTLANDS LÄN</t>
        </is>
      </c>
      <c r="E73" t="inlineStr">
        <is>
          <t>BOXHOLM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9367-2020</t>
        </is>
      </c>
      <c r="B74" s="1" t="n">
        <v>43880</v>
      </c>
      <c r="C74" s="1" t="n">
        <v>45877</v>
      </c>
      <c r="D74" t="inlineStr">
        <is>
          <t>ÖSTERGÖTLANDS LÄN</t>
        </is>
      </c>
      <c r="E74" t="inlineStr">
        <is>
          <t>BOXHOLM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11257-2020</t>
        </is>
      </c>
      <c r="B75" s="1" t="n">
        <v>43892</v>
      </c>
      <c r="C75" s="1" t="n">
        <v>45877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12878-2020</t>
        </is>
      </c>
      <c r="B76" s="1" t="n">
        <v>43900</v>
      </c>
      <c r="C76" s="1" t="n">
        <v>45877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13021-2020</t>
        </is>
      </c>
      <c r="B77" s="1" t="n">
        <v>43900</v>
      </c>
      <c r="C77" s="1" t="n">
        <v>45877</v>
      </c>
      <c r="D77" t="inlineStr">
        <is>
          <t>ÖSTERGÖTLANDS LÄN</t>
        </is>
      </c>
      <c r="E77" t="inlineStr">
        <is>
          <t>BOXHOLM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13017-2020</t>
        </is>
      </c>
      <c r="B78" s="1" t="n">
        <v>43900</v>
      </c>
      <c r="C78" s="1" t="n">
        <v>45877</v>
      </c>
      <c r="D78" t="inlineStr">
        <is>
          <t>ÖSTERGÖTLANDS LÄN</t>
        </is>
      </c>
      <c r="E78" t="inlineStr">
        <is>
          <t>BOXHOLM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14500-2020</t>
        </is>
      </c>
      <c r="B79" s="1" t="n">
        <v>43908</v>
      </c>
      <c r="C79" s="1" t="n">
        <v>45877</v>
      </c>
      <c r="D79" t="inlineStr">
        <is>
          <t>ÖSTERGÖTLANDS LÄN</t>
        </is>
      </c>
      <c r="E79" t="inlineStr">
        <is>
          <t>BOXHOLM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17555-2020</t>
        </is>
      </c>
      <c r="B80" s="1" t="n">
        <v>43921</v>
      </c>
      <c r="C80" s="1" t="n">
        <v>45877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18572-2020</t>
        </is>
      </c>
      <c r="B81" s="1" t="n">
        <v>43929</v>
      </c>
      <c r="C81" s="1" t="n">
        <v>45877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20561-2020</t>
        </is>
      </c>
      <c r="B82" s="1" t="n">
        <v>43948</v>
      </c>
      <c r="C82" s="1" t="n">
        <v>45877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20800-2020</t>
        </is>
      </c>
      <c r="B83" s="1" t="n">
        <v>43949</v>
      </c>
      <c r="C83" s="1" t="n">
        <v>45877</v>
      </c>
      <c r="D83" t="inlineStr">
        <is>
          <t>ÖSTERGÖTLANDS LÄN</t>
        </is>
      </c>
      <c r="E83" t="inlineStr">
        <is>
          <t>BOXHOLM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22930-2020</t>
        </is>
      </c>
      <c r="B84" s="1" t="n">
        <v>43965</v>
      </c>
      <c r="C84" s="1" t="n">
        <v>45877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23940-2020</t>
        </is>
      </c>
      <c r="B85" s="1" t="n">
        <v>43971</v>
      </c>
      <c r="C85" s="1" t="n">
        <v>45877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24313-2020</t>
        </is>
      </c>
      <c r="B86" s="1" t="n">
        <v>43976</v>
      </c>
      <c r="C86" s="1" t="n">
        <v>45877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24455-2020</t>
        </is>
      </c>
      <c r="B87" s="1" t="n">
        <v>43977</v>
      </c>
      <c r="C87" s="1" t="n">
        <v>45877</v>
      </c>
      <c r="D87" t="inlineStr">
        <is>
          <t>ÖSTERGÖTLANDS LÄN</t>
        </is>
      </c>
      <c r="E87" t="inlineStr">
        <is>
          <t>BOXHOLM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25011-2020</t>
        </is>
      </c>
      <c r="B88" s="1" t="n">
        <v>43979</v>
      </c>
      <c r="C88" s="1" t="n">
        <v>45877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25476-2020</t>
        </is>
      </c>
      <c r="B89" s="1" t="n">
        <v>43983</v>
      </c>
      <c r="C89" s="1" t="n">
        <v>45877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28940-2020</t>
        </is>
      </c>
      <c r="B90" s="1" t="n">
        <v>44000</v>
      </c>
      <c r="C90" s="1" t="n">
        <v>45877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30642-2020</t>
        </is>
      </c>
      <c r="B91" s="1" t="n">
        <v>44008</v>
      </c>
      <c r="C91" s="1" t="n">
        <v>45877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34828-2020</t>
        </is>
      </c>
      <c r="B92" s="1" t="n">
        <v>44036</v>
      </c>
      <c r="C92" s="1" t="n">
        <v>45877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34839-2020</t>
        </is>
      </c>
      <c r="B93" s="1" t="n">
        <v>44036</v>
      </c>
      <c r="C93" s="1" t="n">
        <v>45877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36887-2020</t>
        </is>
      </c>
      <c r="B94" s="1" t="n">
        <v>44053</v>
      </c>
      <c r="C94" s="1" t="n">
        <v>45877</v>
      </c>
      <c r="D94" t="inlineStr">
        <is>
          <t>ÖSTERGÖTLANDS LÄN</t>
        </is>
      </c>
      <c r="E94" t="inlineStr">
        <is>
          <t>BOXHOLM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37714-2020</t>
        </is>
      </c>
      <c r="B95" s="1" t="n">
        <v>44056</v>
      </c>
      <c r="C95" s="1" t="n">
        <v>45877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37771-2020</t>
        </is>
      </c>
      <c r="B96" s="1" t="n">
        <v>44056</v>
      </c>
      <c r="C96" s="1" t="n">
        <v>45877</v>
      </c>
      <c r="D96" t="inlineStr">
        <is>
          <t>ÖSTERGÖTLANDS LÄN</t>
        </is>
      </c>
      <c r="E96" t="inlineStr">
        <is>
          <t>BOXHOLM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38343-2020</t>
        </is>
      </c>
      <c r="B97" s="1" t="n">
        <v>44060</v>
      </c>
      <c r="C97" s="1" t="n">
        <v>45877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38348-2020</t>
        </is>
      </c>
      <c r="B98" s="1" t="n">
        <v>44060</v>
      </c>
      <c r="C98" s="1" t="n">
        <v>45877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38352-2020</t>
        </is>
      </c>
      <c r="B99" s="1" t="n">
        <v>44060</v>
      </c>
      <c r="C99" s="1" t="n">
        <v>45877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39601-2020</t>
        </is>
      </c>
      <c r="B100" s="1" t="n">
        <v>44064</v>
      </c>
      <c r="C100" s="1" t="n">
        <v>45877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39608-2020</t>
        </is>
      </c>
      <c r="B101" s="1" t="n">
        <v>44064</v>
      </c>
      <c r="C101" s="1" t="n">
        <v>45877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41071-2020</t>
        </is>
      </c>
      <c r="B102" s="1" t="n">
        <v>44071</v>
      </c>
      <c r="C102" s="1" t="n">
        <v>45877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41078-2020</t>
        </is>
      </c>
      <c r="B103" s="1" t="n">
        <v>44071</v>
      </c>
      <c r="C103" s="1" t="n">
        <v>45877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41533-2020</t>
        </is>
      </c>
      <c r="B104" s="1" t="n">
        <v>44074</v>
      </c>
      <c r="C104" s="1" t="n">
        <v>45877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41530-2020</t>
        </is>
      </c>
      <c r="B105" s="1" t="n">
        <v>44074</v>
      </c>
      <c r="C105" s="1" t="n">
        <v>45877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41538-2020</t>
        </is>
      </c>
      <c r="B106" s="1" t="n">
        <v>44074</v>
      </c>
      <c r="C106" s="1" t="n">
        <v>45877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41759-2020</t>
        </is>
      </c>
      <c r="B107" s="1" t="n">
        <v>44074</v>
      </c>
      <c r="C107" s="1" t="n">
        <v>45877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41754-2020</t>
        </is>
      </c>
      <c r="B108" s="1" t="n">
        <v>44074</v>
      </c>
      <c r="C108" s="1" t="n">
        <v>45877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41770-2020</t>
        </is>
      </c>
      <c r="B109" s="1" t="n">
        <v>44074</v>
      </c>
      <c r="C109" s="1" t="n">
        <v>45877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42649-2020</t>
        </is>
      </c>
      <c r="B110" s="1" t="n">
        <v>44077</v>
      </c>
      <c r="C110" s="1" t="n">
        <v>45877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43315-2020</t>
        </is>
      </c>
      <c r="B111" s="1" t="n">
        <v>44081</v>
      </c>
      <c r="C111" s="1" t="n">
        <v>45877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43752-2020</t>
        </is>
      </c>
      <c r="B112" s="1" t="n">
        <v>44082</v>
      </c>
      <c r="C112" s="1" t="n">
        <v>45877</v>
      </c>
      <c r="D112" t="inlineStr">
        <is>
          <t>ÖSTERGÖTLANDS LÄN</t>
        </is>
      </c>
      <c r="E112" t="inlineStr">
        <is>
          <t>BOXHOLM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44036-2020</t>
        </is>
      </c>
      <c r="B113" s="1" t="n">
        <v>44083</v>
      </c>
      <c r="C113" s="1" t="n">
        <v>45877</v>
      </c>
      <c r="D113" t="inlineStr">
        <is>
          <t>ÖSTERGÖTLANDS LÄN</t>
        </is>
      </c>
      <c r="E113" t="inlineStr">
        <is>
          <t>BOXHOLM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44373-2020</t>
        </is>
      </c>
      <c r="B114" s="1" t="n">
        <v>44084</v>
      </c>
      <c r="C114" s="1" t="n">
        <v>45877</v>
      </c>
      <c r="D114" t="inlineStr">
        <is>
          <t>ÖSTERGÖTLANDS LÄN</t>
        </is>
      </c>
      <c r="E114" t="inlineStr">
        <is>
          <t>BOXHOLM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47655-2020</t>
        </is>
      </c>
      <c r="B115" s="1" t="n">
        <v>44098</v>
      </c>
      <c r="C115" s="1" t="n">
        <v>45877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50454-2020</t>
        </is>
      </c>
      <c r="B116" s="1" t="n">
        <v>44110</v>
      </c>
      <c r="C116" s="1" t="n">
        <v>45877</v>
      </c>
      <c r="D116" t="inlineStr">
        <is>
          <t>ÖSTERGÖTLANDS LÄN</t>
        </is>
      </c>
      <c r="E116" t="inlineStr">
        <is>
          <t>BOXHOLM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52691-2020</t>
        </is>
      </c>
      <c r="B117" s="1" t="n">
        <v>44117</v>
      </c>
      <c r="C117" s="1" t="n">
        <v>45877</v>
      </c>
      <c r="D117" t="inlineStr">
        <is>
          <t>ÖSTERGÖTLANDS LÄN</t>
        </is>
      </c>
      <c r="E117" t="inlineStr">
        <is>
          <t>BOXHOLM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52845-2020</t>
        </is>
      </c>
      <c r="B118" s="1" t="n">
        <v>44119</v>
      </c>
      <c r="C118" s="1" t="n">
        <v>45877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55112-2020</t>
        </is>
      </c>
      <c r="B119" s="1" t="n">
        <v>44130</v>
      </c>
      <c r="C119" s="1" t="n">
        <v>45877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55092-2020</t>
        </is>
      </c>
      <c r="B120" s="1" t="n">
        <v>44130</v>
      </c>
      <c r="C120" s="1" t="n">
        <v>45877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55767-2020</t>
        </is>
      </c>
      <c r="B121" s="1" t="n">
        <v>44132</v>
      </c>
      <c r="C121" s="1" t="n">
        <v>45877</v>
      </c>
      <c r="D121" t="inlineStr">
        <is>
          <t>ÖSTERGÖTLANDS LÄN</t>
        </is>
      </c>
      <c r="E121" t="inlineStr">
        <is>
          <t>BOXHOLM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56144-2020</t>
        </is>
      </c>
      <c r="B122" s="1" t="n">
        <v>44133</v>
      </c>
      <c r="C122" s="1" t="n">
        <v>45877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56909-2020</t>
        </is>
      </c>
      <c r="B123" s="1" t="n">
        <v>44138</v>
      </c>
      <c r="C123" s="1" t="n">
        <v>45877</v>
      </c>
      <c r="D123" t="inlineStr">
        <is>
          <t>ÖSTERGÖTLANDS LÄN</t>
        </is>
      </c>
      <c r="E123" t="inlineStr">
        <is>
          <t>BOXHOLM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56792-2020</t>
        </is>
      </c>
      <c r="B124" s="1" t="n">
        <v>44138</v>
      </c>
      <c r="C124" s="1" t="n">
        <v>45877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57935-2020</t>
        </is>
      </c>
      <c r="B125" s="1" t="n">
        <v>44141</v>
      </c>
      <c r="C125" s="1" t="n">
        <v>45877</v>
      </c>
      <c r="D125" t="inlineStr">
        <is>
          <t>ÖSTERGÖTLANDS LÄN</t>
        </is>
      </c>
      <c r="E125" t="inlineStr">
        <is>
          <t>BOXHOLM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58087-2020</t>
        </is>
      </c>
      <c r="B126" s="1" t="n">
        <v>44144</v>
      </c>
      <c r="C126" s="1" t="n">
        <v>45877</v>
      </c>
      <c r="D126" t="inlineStr">
        <is>
          <t>ÖSTERGÖTLANDS LÄN</t>
        </is>
      </c>
      <c r="E126" t="inlineStr">
        <is>
          <t>BOXHOLM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58518-2020</t>
        </is>
      </c>
      <c r="B127" s="1" t="n">
        <v>44145</v>
      </c>
      <c r="C127" s="1" t="n">
        <v>45877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58785-2020</t>
        </is>
      </c>
      <c r="B128" s="1" t="n">
        <v>44146</v>
      </c>
      <c r="C128" s="1" t="n">
        <v>45877</v>
      </c>
      <c r="D128" t="inlineStr">
        <is>
          <t>ÖSTERGÖTLANDS LÄN</t>
        </is>
      </c>
      <c r="E128" t="inlineStr">
        <is>
          <t>BOXHOLM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60159-2020</t>
        </is>
      </c>
      <c r="B129" s="1" t="n">
        <v>44152</v>
      </c>
      <c r="C129" s="1" t="n">
        <v>45877</v>
      </c>
      <c r="D129" t="inlineStr">
        <is>
          <t>ÖSTERGÖTLANDS LÄN</t>
        </is>
      </c>
      <c r="E129" t="inlineStr">
        <is>
          <t>BOXHOLM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60175-2020</t>
        </is>
      </c>
      <c r="B130" s="1" t="n">
        <v>44152</v>
      </c>
      <c r="C130" s="1" t="n">
        <v>45877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62117-2020</t>
        </is>
      </c>
      <c r="B131" s="1" t="n">
        <v>44158</v>
      </c>
      <c r="C131" s="1" t="n">
        <v>45877</v>
      </c>
      <c r="D131" t="inlineStr">
        <is>
          <t>ÖSTERGÖTLANDS LÄN</t>
        </is>
      </c>
      <c r="E131" t="inlineStr">
        <is>
          <t>BOXHOLM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64231-2020</t>
        </is>
      </c>
      <c r="B132" s="1" t="n">
        <v>44168</v>
      </c>
      <c r="C132" s="1" t="n">
        <v>45877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68826-2020</t>
        </is>
      </c>
      <c r="B133" s="1" t="n">
        <v>44187</v>
      </c>
      <c r="C133" s="1" t="n">
        <v>45877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69327-2020</t>
        </is>
      </c>
      <c r="B134" s="1" t="n">
        <v>44193</v>
      </c>
      <c r="C134" s="1" t="n">
        <v>45877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4060-2021</t>
        </is>
      </c>
      <c r="B135" s="1" t="n">
        <v>44222</v>
      </c>
      <c r="C135" s="1" t="n">
        <v>45877</v>
      </c>
      <c r="D135" t="inlineStr">
        <is>
          <t>ÖSTERGÖTLANDS LÄN</t>
        </is>
      </c>
      <c r="E135" t="inlineStr">
        <is>
          <t>BOXHOLM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4721-2021</t>
        </is>
      </c>
      <c r="B136" s="1" t="n">
        <v>44225</v>
      </c>
      <c r="C136" s="1" t="n">
        <v>45877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6894-2021</t>
        </is>
      </c>
      <c r="B137" s="1" t="n">
        <v>44237</v>
      </c>
      <c r="C137" s="1" t="n">
        <v>45877</v>
      </c>
      <c r="D137" t="inlineStr">
        <is>
          <t>ÖSTERGÖTLANDS LÄN</t>
        </is>
      </c>
      <c r="E137" t="inlineStr">
        <is>
          <t>BOXHOLM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9082-2021</t>
        </is>
      </c>
      <c r="B138" s="1" t="n">
        <v>44249</v>
      </c>
      <c r="C138" s="1" t="n">
        <v>45877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10390-2021</t>
        </is>
      </c>
      <c r="B139" s="1" t="n">
        <v>44257</v>
      </c>
      <c r="C139" s="1" t="n">
        <v>45877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10816-2021</t>
        </is>
      </c>
      <c r="B140" s="1" t="n">
        <v>44259</v>
      </c>
      <c r="C140" s="1" t="n">
        <v>45877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12976-2021</t>
        </is>
      </c>
      <c r="B141" s="1" t="n">
        <v>44271</v>
      </c>
      <c r="C141" s="1" t="n">
        <v>45877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13633-2021</t>
        </is>
      </c>
      <c r="B142" s="1" t="n">
        <v>44274</v>
      </c>
      <c r="C142" s="1" t="n">
        <v>45877</v>
      </c>
      <c r="D142" t="inlineStr">
        <is>
          <t>ÖSTERGÖTLANDS LÄN</t>
        </is>
      </c>
      <c r="E142" t="inlineStr">
        <is>
          <t>BOXHOLM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13636-2021</t>
        </is>
      </c>
      <c r="B143" s="1" t="n">
        <v>44274</v>
      </c>
      <c r="C143" s="1" t="n">
        <v>45877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13735-2021</t>
        </is>
      </c>
      <c r="B144" s="1" t="n">
        <v>44274</v>
      </c>
      <c r="C144" s="1" t="n">
        <v>45877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14423-2021</t>
        </is>
      </c>
      <c r="B145" s="1" t="n">
        <v>44279</v>
      </c>
      <c r="C145" s="1" t="n">
        <v>45877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14465-2021</t>
        </is>
      </c>
      <c r="B146" s="1" t="n">
        <v>44279</v>
      </c>
      <c r="C146" s="1" t="n">
        <v>45877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15507-2021</t>
        </is>
      </c>
      <c r="B147" s="1" t="n">
        <v>44285</v>
      </c>
      <c r="C147" s="1" t="n">
        <v>45877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17880-2021</t>
        </is>
      </c>
      <c r="B148" s="1" t="n">
        <v>44301</v>
      </c>
      <c r="C148" s="1" t="n">
        <v>45877</v>
      </c>
      <c r="D148" t="inlineStr">
        <is>
          <t>ÖSTERGÖTLANDS LÄN</t>
        </is>
      </c>
      <c r="E148" t="inlineStr">
        <is>
          <t>BOXHOLM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17882-2021</t>
        </is>
      </c>
      <c r="B149" s="1" t="n">
        <v>44301</v>
      </c>
      <c r="C149" s="1" t="n">
        <v>45877</v>
      </c>
      <c r="D149" t="inlineStr">
        <is>
          <t>ÖSTERGÖTLANDS LÄN</t>
        </is>
      </c>
      <c r="E149" t="inlineStr">
        <is>
          <t>BOXHOLM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26302-2021</t>
        </is>
      </c>
      <c r="B150" s="1" t="n">
        <v>44347</v>
      </c>
      <c r="C150" s="1" t="n">
        <v>45877</v>
      </c>
      <c r="D150" t="inlineStr">
        <is>
          <t>ÖSTERGÖTLANDS LÄN</t>
        </is>
      </c>
      <c r="E150" t="inlineStr">
        <is>
          <t>BOXHOLM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28018-2021</t>
        </is>
      </c>
      <c r="B151" s="1" t="n">
        <v>44355</v>
      </c>
      <c r="C151" s="1" t="n">
        <v>45877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31941-2021</t>
        </is>
      </c>
      <c r="B152" s="1" t="n">
        <v>44370</v>
      </c>
      <c r="C152" s="1" t="n">
        <v>45877</v>
      </c>
      <c r="D152" t="inlineStr">
        <is>
          <t>ÖSTERGÖTLANDS LÄN</t>
        </is>
      </c>
      <c r="E152" t="inlineStr">
        <is>
          <t>BOXHOLM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32370-2021</t>
        </is>
      </c>
      <c r="B153" s="1" t="n">
        <v>44371</v>
      </c>
      <c r="C153" s="1" t="n">
        <v>45877</v>
      </c>
      <c r="D153" t="inlineStr">
        <is>
          <t>ÖSTERGÖTLANDS LÄN</t>
        </is>
      </c>
      <c r="E153" t="inlineStr">
        <is>
          <t>BOXHOLM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35187-2021</t>
        </is>
      </c>
      <c r="B154" s="1" t="n">
        <v>44384</v>
      </c>
      <c r="C154" s="1" t="n">
        <v>45877</v>
      </c>
      <c r="D154" t="inlineStr">
        <is>
          <t>ÖSTERGÖTLANDS LÄN</t>
        </is>
      </c>
      <c r="E154" t="inlineStr">
        <is>
          <t>BOXHOLM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35275-2021</t>
        </is>
      </c>
      <c r="B155" s="1" t="n">
        <v>44384</v>
      </c>
      <c r="C155" s="1" t="n">
        <v>45877</v>
      </c>
      <c r="D155" t="inlineStr">
        <is>
          <t>ÖSTERGÖTLANDS LÄN</t>
        </is>
      </c>
      <c r="E155" t="inlineStr">
        <is>
          <t>BOXHOLM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35283-2021</t>
        </is>
      </c>
      <c r="B156" s="1" t="n">
        <v>44384</v>
      </c>
      <c r="C156" s="1" t="n">
        <v>45877</v>
      </c>
      <c r="D156" t="inlineStr">
        <is>
          <t>ÖSTERGÖTLANDS LÄN</t>
        </is>
      </c>
      <c r="E156" t="inlineStr">
        <is>
          <t>BOXHOLM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38107-2021</t>
        </is>
      </c>
      <c r="B157" s="1" t="n">
        <v>44405</v>
      </c>
      <c r="C157" s="1" t="n">
        <v>45877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46588-2021</t>
        </is>
      </c>
      <c r="B158" s="1" t="n">
        <v>44445</v>
      </c>
      <c r="C158" s="1" t="n">
        <v>45877</v>
      </c>
      <c r="D158" t="inlineStr">
        <is>
          <t>ÖSTERGÖTLANDS LÄN</t>
        </is>
      </c>
      <c r="E158" t="inlineStr">
        <is>
          <t>BOXHOLM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49465-2021</t>
        </is>
      </c>
      <c r="B159" s="1" t="n">
        <v>44454</v>
      </c>
      <c r="C159" s="1" t="n">
        <v>45877</v>
      </c>
      <c r="D159" t="inlineStr">
        <is>
          <t>ÖSTERGÖTLANDS LÄN</t>
        </is>
      </c>
      <c r="E159" t="inlineStr">
        <is>
          <t>BOXHOLM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49897-2021</t>
        </is>
      </c>
      <c r="B160" s="1" t="n">
        <v>44455</v>
      </c>
      <c r="C160" s="1" t="n">
        <v>45877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49895-2021</t>
        </is>
      </c>
      <c r="B161" s="1" t="n">
        <v>44455</v>
      </c>
      <c r="C161" s="1" t="n">
        <v>45877</v>
      </c>
      <c r="D161" t="inlineStr">
        <is>
          <t>ÖSTERGÖTLANDS LÄN</t>
        </is>
      </c>
      <c r="E161" t="inlineStr">
        <is>
          <t>BOXHOLM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49990-2021</t>
        </is>
      </c>
      <c r="B162" s="1" t="n">
        <v>44456</v>
      </c>
      <c r="C162" s="1" t="n">
        <v>45877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51509-2021</t>
        </is>
      </c>
      <c r="B163" s="1" t="n">
        <v>44460</v>
      </c>
      <c r="C163" s="1" t="n">
        <v>45877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51261-2021</t>
        </is>
      </c>
      <c r="B164" s="1" t="n">
        <v>44461</v>
      </c>
      <c r="C164" s="1" t="n">
        <v>45877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53725-2021</t>
        </is>
      </c>
      <c r="B165" s="1" t="n">
        <v>44469</v>
      </c>
      <c r="C165" s="1" t="n">
        <v>45877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54708-2021</t>
        </is>
      </c>
      <c r="B166" s="1" t="n">
        <v>44473</v>
      </c>
      <c r="C166" s="1" t="n">
        <v>45877</v>
      </c>
      <c r="D166" t="inlineStr">
        <is>
          <t>ÖSTERGÖTLANDS LÄN</t>
        </is>
      </c>
      <c r="E166" t="inlineStr">
        <is>
          <t>BOXHOLM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56425-2021</t>
        </is>
      </c>
      <c r="B167" s="1" t="n">
        <v>44477</v>
      </c>
      <c r="C167" s="1" t="n">
        <v>45877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56423-2021</t>
        </is>
      </c>
      <c r="B168" s="1" t="n">
        <v>44477</v>
      </c>
      <c r="C168" s="1" t="n">
        <v>45877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56800-2021</t>
        </is>
      </c>
      <c r="B169" s="1" t="n">
        <v>44481</v>
      </c>
      <c r="C169" s="1" t="n">
        <v>45877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56794-2021</t>
        </is>
      </c>
      <c r="B170" s="1" t="n">
        <v>44481</v>
      </c>
      <c r="C170" s="1" t="n">
        <v>45877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58474-2021</t>
        </is>
      </c>
      <c r="B171" s="1" t="n">
        <v>44488</v>
      </c>
      <c r="C171" s="1" t="n">
        <v>45877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58472-2021</t>
        </is>
      </c>
      <c r="B172" s="1" t="n">
        <v>44488</v>
      </c>
      <c r="C172" s="1" t="n">
        <v>45877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61066-2021</t>
        </is>
      </c>
      <c r="B173" s="1" t="n">
        <v>44497</v>
      </c>
      <c r="C173" s="1" t="n">
        <v>45877</v>
      </c>
      <c r="D173" t="inlineStr">
        <is>
          <t>ÖSTERGÖTLANDS LÄN</t>
        </is>
      </c>
      <c r="E173" t="inlineStr">
        <is>
          <t>BOXHOLM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61210-2021</t>
        </is>
      </c>
      <c r="B174" s="1" t="n">
        <v>44498</v>
      </c>
      <c r="C174" s="1" t="n">
        <v>45877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63202-2021</t>
        </is>
      </c>
      <c r="B175" s="1" t="n">
        <v>44507</v>
      </c>
      <c r="C175" s="1" t="n">
        <v>45877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65333-2021</t>
        </is>
      </c>
      <c r="B176" s="1" t="n">
        <v>44515</v>
      </c>
      <c r="C176" s="1" t="n">
        <v>45877</v>
      </c>
      <c r="D176" t="inlineStr">
        <is>
          <t>ÖSTERGÖTLANDS LÄN</t>
        </is>
      </c>
      <c r="E176" t="inlineStr">
        <is>
          <t>BOXHOLM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67372-2021</t>
        </is>
      </c>
      <c r="B177" s="1" t="n">
        <v>44523</v>
      </c>
      <c r="C177" s="1" t="n">
        <v>45877</v>
      </c>
      <c r="D177" t="inlineStr">
        <is>
          <t>ÖSTERGÖTLANDS LÄN</t>
        </is>
      </c>
      <c r="E177" t="inlineStr">
        <is>
          <t>BOXHOLM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67362-2021</t>
        </is>
      </c>
      <c r="B178" s="1" t="n">
        <v>44523</v>
      </c>
      <c r="C178" s="1" t="n">
        <v>45877</v>
      </c>
      <c r="D178" t="inlineStr">
        <is>
          <t>ÖSTERGÖTLANDS LÄN</t>
        </is>
      </c>
      <c r="E178" t="inlineStr">
        <is>
          <t>BOXHOLM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67371-2021</t>
        </is>
      </c>
      <c r="B179" s="1" t="n">
        <v>44523</v>
      </c>
      <c r="C179" s="1" t="n">
        <v>45877</v>
      </c>
      <c r="D179" t="inlineStr">
        <is>
          <t>ÖSTERGÖTLANDS LÄN</t>
        </is>
      </c>
      <c r="E179" t="inlineStr">
        <is>
          <t>BOXHOLM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71037-2021</t>
        </is>
      </c>
      <c r="B180" s="1" t="n">
        <v>44537</v>
      </c>
      <c r="C180" s="1" t="n">
        <v>45877</v>
      </c>
      <c r="D180" t="inlineStr">
        <is>
          <t>ÖSTERGÖTLANDS LÄN</t>
        </is>
      </c>
      <c r="E180" t="inlineStr">
        <is>
          <t>BOXHOLM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71030-2021</t>
        </is>
      </c>
      <c r="B181" s="1" t="n">
        <v>44538</v>
      </c>
      <c r="C181" s="1" t="n">
        <v>45877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72282-2021</t>
        </is>
      </c>
      <c r="B182" s="1" t="n">
        <v>44545</v>
      </c>
      <c r="C182" s="1" t="n">
        <v>45877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72287-2021</t>
        </is>
      </c>
      <c r="B183" s="1" t="n">
        <v>44545</v>
      </c>
      <c r="C183" s="1" t="n">
        <v>45877</v>
      </c>
      <c r="D183" t="inlineStr">
        <is>
          <t>ÖSTERGÖTLANDS LÄN</t>
        </is>
      </c>
      <c r="E183" t="inlineStr">
        <is>
          <t>BOXHOLM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72285-2021</t>
        </is>
      </c>
      <c r="B184" s="1" t="n">
        <v>44545</v>
      </c>
      <c r="C184" s="1" t="n">
        <v>45877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72283-2021</t>
        </is>
      </c>
      <c r="B185" s="1" t="n">
        <v>44545</v>
      </c>
      <c r="C185" s="1" t="n">
        <v>45877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74111-2021</t>
        </is>
      </c>
      <c r="B186" s="1" t="n">
        <v>44557</v>
      </c>
      <c r="C186" s="1" t="n">
        <v>45877</v>
      </c>
      <c r="D186" t="inlineStr">
        <is>
          <t>ÖSTERGÖTLANDS LÄN</t>
        </is>
      </c>
      <c r="E186" t="inlineStr">
        <is>
          <t>BOXHOLM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74128-2021</t>
        </is>
      </c>
      <c r="B187" s="1" t="n">
        <v>44557</v>
      </c>
      <c r="C187" s="1" t="n">
        <v>45877</v>
      </c>
      <c r="D187" t="inlineStr">
        <is>
          <t>ÖSTERGÖTLANDS LÄN</t>
        </is>
      </c>
      <c r="E187" t="inlineStr">
        <is>
          <t>BOXHOLM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1914-2022</t>
        </is>
      </c>
      <c r="B188" s="1" t="n">
        <v>44575</v>
      </c>
      <c r="C188" s="1" t="n">
        <v>45877</v>
      </c>
      <c r="D188" t="inlineStr">
        <is>
          <t>ÖSTERGÖTLANDS LÄN</t>
        </is>
      </c>
      <c r="E188" t="inlineStr">
        <is>
          <t>BOXHOLM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1925-2022</t>
        </is>
      </c>
      <c r="B189" s="1" t="n">
        <v>44575</v>
      </c>
      <c r="C189" s="1" t="n">
        <v>45877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3467-2022</t>
        </is>
      </c>
      <c r="B190" s="1" t="n">
        <v>44585</v>
      </c>
      <c r="C190" s="1" t="n">
        <v>45877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3470-2022</t>
        </is>
      </c>
      <c r="B191" s="1" t="n">
        <v>44585</v>
      </c>
      <c r="C191" s="1" t="n">
        <v>45877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8771-2022</t>
        </is>
      </c>
      <c r="B192" s="1" t="n">
        <v>44614</v>
      </c>
      <c r="C192" s="1" t="n">
        <v>45877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13457-2022</t>
        </is>
      </c>
      <c r="B193" s="1" t="n">
        <v>44645</v>
      </c>
      <c r="C193" s="1" t="n">
        <v>45877</v>
      </c>
      <c r="D193" t="inlineStr">
        <is>
          <t>ÖSTERGÖTLANDS LÄN</t>
        </is>
      </c>
      <c r="E193" t="inlineStr">
        <is>
          <t>BOXHOLM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13460-2022</t>
        </is>
      </c>
      <c r="B194" s="1" t="n">
        <v>44645</v>
      </c>
      <c r="C194" s="1" t="n">
        <v>45877</v>
      </c>
      <c r="D194" t="inlineStr">
        <is>
          <t>ÖSTERGÖTLANDS LÄN</t>
        </is>
      </c>
      <c r="E194" t="inlineStr">
        <is>
          <t>BOXHOLM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13601-2022</t>
        </is>
      </c>
      <c r="B195" s="1" t="n">
        <v>44648</v>
      </c>
      <c r="C195" s="1" t="n">
        <v>45877</v>
      </c>
      <c r="D195" t="inlineStr">
        <is>
          <t>ÖSTERGÖTLANDS LÄN</t>
        </is>
      </c>
      <c r="E195" t="inlineStr">
        <is>
          <t>BOXHOLM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13993-2022</t>
        </is>
      </c>
      <c r="B196" s="1" t="n">
        <v>44650</v>
      </c>
      <c r="C196" s="1" t="n">
        <v>45877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14946-2022</t>
        </is>
      </c>
      <c r="B197" s="1" t="n">
        <v>44657</v>
      </c>
      <c r="C197" s="1" t="n">
        <v>45877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16107-2022</t>
        </is>
      </c>
      <c r="B198" s="1" t="n">
        <v>44665</v>
      </c>
      <c r="C198" s="1" t="n">
        <v>45877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16635-2022</t>
        </is>
      </c>
      <c r="B199" s="1" t="n">
        <v>44672</v>
      </c>
      <c r="C199" s="1" t="n">
        <v>45877</v>
      </c>
      <c r="D199" t="inlineStr">
        <is>
          <t>ÖSTERGÖTLANDS LÄN</t>
        </is>
      </c>
      <c r="E199" t="inlineStr">
        <is>
          <t>BOXHOLM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16753-2022</t>
        </is>
      </c>
      <c r="B200" s="1" t="n">
        <v>44673</v>
      </c>
      <c r="C200" s="1" t="n">
        <v>45877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16751-2022</t>
        </is>
      </c>
      <c r="B201" s="1" t="n">
        <v>44673</v>
      </c>
      <c r="C201" s="1" t="n">
        <v>45877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16755-2022</t>
        </is>
      </c>
      <c r="B202" s="1" t="n">
        <v>44673</v>
      </c>
      <c r="C202" s="1" t="n">
        <v>45877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19356-2022</t>
        </is>
      </c>
      <c r="B203" s="1" t="n">
        <v>44692</v>
      </c>
      <c r="C203" s="1" t="n">
        <v>45877</v>
      </c>
      <c r="D203" t="inlineStr">
        <is>
          <t>ÖSTERGÖTLANDS LÄN</t>
        </is>
      </c>
      <c r="E203" t="inlineStr">
        <is>
          <t>BOXHOLM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19566-2022</t>
        </is>
      </c>
      <c r="B204" s="1" t="n">
        <v>44693</v>
      </c>
      <c r="C204" s="1" t="n">
        <v>45877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22046-2022</t>
        </is>
      </c>
      <c r="B205" s="1" t="n">
        <v>44711</v>
      </c>
      <c r="C205" s="1" t="n">
        <v>45877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22043-2022</t>
        </is>
      </c>
      <c r="B206" s="1" t="n">
        <v>44711</v>
      </c>
      <c r="C206" s="1" t="n">
        <v>45877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24847-2022</t>
        </is>
      </c>
      <c r="B207" s="1" t="n">
        <v>44728</v>
      </c>
      <c r="C207" s="1" t="n">
        <v>45877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26907-2022</t>
        </is>
      </c>
      <c r="B208" s="1" t="n">
        <v>44740</v>
      </c>
      <c r="C208" s="1" t="n">
        <v>45877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26793-2022</t>
        </is>
      </c>
      <c r="B209" s="1" t="n">
        <v>44740</v>
      </c>
      <c r="C209" s="1" t="n">
        <v>45877</v>
      </c>
      <c r="D209" t="inlineStr">
        <is>
          <t>ÖSTERGÖTLANDS LÄN</t>
        </is>
      </c>
      <c r="E209" t="inlineStr">
        <is>
          <t>BOXHOLM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28309-2022</t>
        </is>
      </c>
      <c r="B210" s="1" t="n">
        <v>44747</v>
      </c>
      <c r="C210" s="1" t="n">
        <v>45877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28315-2022</t>
        </is>
      </c>
      <c r="B211" s="1" t="n">
        <v>44747</v>
      </c>
      <c r="C211" s="1" t="n">
        <v>45877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29179-2022</t>
        </is>
      </c>
      <c r="B212" s="1" t="n">
        <v>44750</v>
      </c>
      <c r="C212" s="1" t="n">
        <v>45877</v>
      </c>
      <c r="D212" t="inlineStr">
        <is>
          <t>ÖSTERGÖTLANDS LÄN</t>
        </is>
      </c>
      <c r="E212" t="inlineStr">
        <is>
          <t>BOXHOLM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36281-2022</t>
        </is>
      </c>
      <c r="B213" s="1" t="n">
        <v>44803</v>
      </c>
      <c r="C213" s="1" t="n">
        <v>45877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36331-2022</t>
        </is>
      </c>
      <c r="B214" s="1" t="n">
        <v>44803</v>
      </c>
      <c r="C214" s="1" t="n">
        <v>45877</v>
      </c>
      <c r="D214" t="inlineStr">
        <is>
          <t>ÖSTERGÖTLANDS LÄN</t>
        </is>
      </c>
      <c r="E214" t="inlineStr">
        <is>
          <t>BOXHOLM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37578-2022</t>
        </is>
      </c>
      <c r="B215" s="1" t="n">
        <v>44809</v>
      </c>
      <c r="C215" s="1" t="n">
        <v>45877</v>
      </c>
      <c r="D215" t="inlineStr">
        <is>
          <t>ÖSTERGÖTLANDS LÄN</t>
        </is>
      </c>
      <c r="E215" t="inlineStr">
        <is>
          <t>BOXHOLM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39807-2022</t>
        </is>
      </c>
      <c r="B216" s="1" t="n">
        <v>44819</v>
      </c>
      <c r="C216" s="1" t="n">
        <v>45877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41563-2022</t>
        </is>
      </c>
      <c r="B217" s="1" t="n">
        <v>44827</v>
      </c>
      <c r="C217" s="1" t="n">
        <v>45877</v>
      </c>
      <c r="D217" t="inlineStr">
        <is>
          <t>ÖSTERGÖTLANDS LÄN</t>
        </is>
      </c>
      <c r="E217" t="inlineStr">
        <is>
          <t>BOXHOLM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42345-2022</t>
        </is>
      </c>
      <c r="B218" s="1" t="n">
        <v>44831</v>
      </c>
      <c r="C218" s="1" t="n">
        <v>45877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42383-2022</t>
        </is>
      </c>
      <c r="B219" s="1" t="n">
        <v>44831</v>
      </c>
      <c r="C219" s="1" t="n">
        <v>45877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42693-2022</t>
        </is>
      </c>
      <c r="B220" s="1" t="n">
        <v>44832</v>
      </c>
      <c r="C220" s="1" t="n">
        <v>45877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42696-2022</t>
        </is>
      </c>
      <c r="B221" s="1" t="n">
        <v>44832</v>
      </c>
      <c r="C221" s="1" t="n">
        <v>45877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42704-2022</t>
        </is>
      </c>
      <c r="B222" s="1" t="n">
        <v>44832</v>
      </c>
      <c r="C222" s="1" t="n">
        <v>45877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42698-2022</t>
        </is>
      </c>
      <c r="B223" s="1" t="n">
        <v>44832</v>
      </c>
      <c r="C223" s="1" t="n">
        <v>45877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43219-2022</t>
        </is>
      </c>
      <c r="B224" s="1" t="n">
        <v>44834</v>
      </c>
      <c r="C224" s="1" t="n">
        <v>45877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43471-2022</t>
        </is>
      </c>
      <c r="B225" s="1" t="n">
        <v>44836</v>
      </c>
      <c r="C225" s="1" t="n">
        <v>45877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44074-2022</t>
        </is>
      </c>
      <c r="B226" s="1" t="n">
        <v>44839</v>
      </c>
      <c r="C226" s="1" t="n">
        <v>45877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HYPERLINK("https://klasma.github.io/Logging_0560/knärot/A 44074-2022 karta knärot.png", "A 44074-2022")</f>
        <v/>
      </c>
      <c r="V226">
        <f>HYPERLINK("https://klasma.github.io/Logging_0560/klagomål/A 44074-2022 FSC-klagomål.docx", "A 44074-2022")</f>
        <v/>
      </c>
      <c r="W226">
        <f>HYPERLINK("https://klasma.github.io/Logging_0560/klagomålsmail/A 44074-2022 FSC-klagomål mail.docx", "A 44074-2022")</f>
        <v/>
      </c>
      <c r="X226">
        <f>HYPERLINK("https://klasma.github.io/Logging_0560/tillsyn/A 44074-2022 tillsynsbegäran.docx", "A 44074-2022")</f>
        <v/>
      </c>
      <c r="Y226">
        <f>HYPERLINK("https://klasma.github.io/Logging_0560/tillsynsmail/A 44074-2022 tillsynsbegäran mail.docx", "A 44074-2022")</f>
        <v/>
      </c>
    </row>
    <row r="227" ht="15" customHeight="1">
      <c r="A227" t="inlineStr">
        <is>
          <t>A 44898-2022</t>
        </is>
      </c>
      <c r="B227" s="1" t="n">
        <v>44841</v>
      </c>
      <c r="C227" s="1" t="n">
        <v>45877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45877-2022</t>
        </is>
      </c>
      <c r="B228" s="1" t="n">
        <v>44846</v>
      </c>
      <c r="C228" s="1" t="n">
        <v>45877</v>
      </c>
      <c r="D228" t="inlineStr">
        <is>
          <t>ÖSTERGÖTLANDS LÄN</t>
        </is>
      </c>
      <c r="E228" t="inlineStr">
        <is>
          <t>BOXHOLM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47145-2022</t>
        </is>
      </c>
      <c r="B229" s="1" t="n">
        <v>44852</v>
      </c>
      <c r="C229" s="1" t="n">
        <v>45877</v>
      </c>
      <c r="D229" t="inlineStr">
        <is>
          <t>ÖSTERGÖTLANDS LÄN</t>
        </is>
      </c>
      <c r="E229" t="inlineStr">
        <is>
          <t>BOXHOLM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47144-2022</t>
        </is>
      </c>
      <c r="B230" s="1" t="n">
        <v>44852</v>
      </c>
      <c r="C230" s="1" t="n">
        <v>45877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48318-2022</t>
        </is>
      </c>
      <c r="B231" s="1" t="n">
        <v>44858</v>
      </c>
      <c r="C231" s="1" t="n">
        <v>45877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48373-2022</t>
        </is>
      </c>
      <c r="B232" s="1" t="n">
        <v>44858</v>
      </c>
      <c r="C232" s="1" t="n">
        <v>45877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48322-2022</t>
        </is>
      </c>
      <c r="B233" s="1" t="n">
        <v>44858</v>
      </c>
      <c r="C233" s="1" t="n">
        <v>45877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50455-2022</t>
        </is>
      </c>
      <c r="B234" s="1" t="n">
        <v>44866</v>
      </c>
      <c r="C234" s="1" t="n">
        <v>45877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50463-2022</t>
        </is>
      </c>
      <c r="B235" s="1" t="n">
        <v>44866</v>
      </c>
      <c r="C235" s="1" t="n">
        <v>45877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51625-2022</t>
        </is>
      </c>
      <c r="B236" s="1" t="n">
        <v>44872</v>
      </c>
      <c r="C236" s="1" t="n">
        <v>45877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52193-2022</t>
        </is>
      </c>
      <c r="B237" s="1" t="n">
        <v>44873</v>
      </c>
      <c r="C237" s="1" t="n">
        <v>45877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52197-2022</t>
        </is>
      </c>
      <c r="B238" s="1" t="n">
        <v>44873</v>
      </c>
      <c r="C238" s="1" t="n">
        <v>45877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52195-2022</t>
        </is>
      </c>
      <c r="B239" s="1" t="n">
        <v>44873</v>
      </c>
      <c r="C239" s="1" t="n">
        <v>45877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53427-2022</t>
        </is>
      </c>
      <c r="B240" s="1" t="n">
        <v>44879</v>
      </c>
      <c r="C240" s="1" t="n">
        <v>45877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54369-2022</t>
        </is>
      </c>
      <c r="B241" s="1" t="n">
        <v>44882</v>
      </c>
      <c r="C241" s="1" t="n">
        <v>45877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54934-2022</t>
        </is>
      </c>
      <c r="B242" s="1" t="n">
        <v>44886</v>
      </c>
      <c r="C242" s="1" t="n">
        <v>45877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55183-2022</t>
        </is>
      </c>
      <c r="B243" s="1" t="n">
        <v>44886</v>
      </c>
      <c r="C243" s="1" t="n">
        <v>45877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55181-2022</t>
        </is>
      </c>
      <c r="B244" s="1" t="n">
        <v>44886</v>
      </c>
      <c r="C244" s="1" t="n">
        <v>45877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55182-2022</t>
        </is>
      </c>
      <c r="B245" s="1" t="n">
        <v>44886</v>
      </c>
      <c r="C245" s="1" t="n">
        <v>45877</v>
      </c>
      <c r="D245" t="inlineStr">
        <is>
          <t>ÖSTERGÖTLANDS LÄN</t>
        </is>
      </c>
      <c r="E245" t="inlineStr">
        <is>
          <t>BOXHOLM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55252-2022</t>
        </is>
      </c>
      <c r="B246" s="1" t="n">
        <v>44887</v>
      </c>
      <c r="C246" s="1" t="n">
        <v>45877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55254-2022</t>
        </is>
      </c>
      <c r="B247" s="1" t="n">
        <v>44887</v>
      </c>
      <c r="C247" s="1" t="n">
        <v>45877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59123-2022</t>
        </is>
      </c>
      <c r="B248" s="1" t="n">
        <v>44904</v>
      </c>
      <c r="C248" s="1" t="n">
        <v>45877</v>
      </c>
      <c r="D248" t="inlineStr">
        <is>
          <t>ÖSTERGÖTLANDS LÄN</t>
        </is>
      </c>
      <c r="E248" t="inlineStr">
        <is>
          <t>BOXHOLM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59125-2022</t>
        </is>
      </c>
      <c r="B249" s="1" t="n">
        <v>44904</v>
      </c>
      <c r="C249" s="1" t="n">
        <v>45877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59658-2022</t>
        </is>
      </c>
      <c r="B250" s="1" t="n">
        <v>44908</v>
      </c>
      <c r="C250" s="1" t="n">
        <v>45877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59779-2022</t>
        </is>
      </c>
      <c r="B251" s="1" t="n">
        <v>44908</v>
      </c>
      <c r="C251" s="1" t="n">
        <v>45877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60827-2022</t>
        </is>
      </c>
      <c r="B252" s="1" t="n">
        <v>44914</v>
      </c>
      <c r="C252" s="1" t="n">
        <v>45877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60867-2022</t>
        </is>
      </c>
      <c r="B253" s="1" t="n">
        <v>44914</v>
      </c>
      <c r="C253" s="1" t="n">
        <v>45877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62192-2022</t>
        </is>
      </c>
      <c r="B254" s="1" t="n">
        <v>44914</v>
      </c>
      <c r="C254" s="1" t="n">
        <v>45877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62195-2022</t>
        </is>
      </c>
      <c r="B255" s="1" t="n">
        <v>44914</v>
      </c>
      <c r="C255" s="1" t="n">
        <v>45877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1597-2023</t>
        </is>
      </c>
      <c r="B256" s="1" t="n">
        <v>44937</v>
      </c>
      <c r="C256" s="1" t="n">
        <v>45877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2198-2023</t>
        </is>
      </c>
      <c r="B257" s="1" t="n">
        <v>44942</v>
      </c>
      <c r="C257" s="1" t="n">
        <v>45877</v>
      </c>
      <c r="D257" t="inlineStr">
        <is>
          <t>ÖSTERGÖTLANDS LÄN</t>
        </is>
      </c>
      <c r="E257" t="inlineStr">
        <is>
          <t>BOXHOLM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3797-2023</t>
        </is>
      </c>
      <c r="B258" s="1" t="n">
        <v>44951</v>
      </c>
      <c r="C258" s="1" t="n">
        <v>45877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3796-2023</t>
        </is>
      </c>
      <c r="B259" s="1" t="n">
        <v>44951</v>
      </c>
      <c r="C259" s="1" t="n">
        <v>45877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5909-2023</t>
        </is>
      </c>
      <c r="B260" s="1" t="n">
        <v>44963</v>
      </c>
      <c r="C260" s="1" t="n">
        <v>45877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9058-2023</t>
        </is>
      </c>
      <c r="B261" s="1" t="n">
        <v>44979</v>
      </c>
      <c r="C261" s="1" t="n">
        <v>45877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9060-2023</t>
        </is>
      </c>
      <c r="B262" s="1" t="n">
        <v>44979</v>
      </c>
      <c r="C262" s="1" t="n">
        <v>45877</v>
      </c>
      <c r="D262" t="inlineStr">
        <is>
          <t>ÖSTERGÖTLANDS LÄN</t>
        </is>
      </c>
      <c r="E262" t="inlineStr">
        <is>
          <t>BOXHOLM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</v>
      </c>
      <c r="C263" s="1" t="n">
        <v>45877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9115-2023</t>
        </is>
      </c>
      <c r="B264" s="1" t="n">
        <v>44980</v>
      </c>
      <c r="C264" s="1" t="n">
        <v>45877</v>
      </c>
      <c r="D264" t="inlineStr">
        <is>
          <t>ÖSTERGÖTLANDS LÄN</t>
        </is>
      </c>
      <c r="E264" t="inlineStr">
        <is>
          <t>BOXHOLM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9114-2023</t>
        </is>
      </c>
      <c r="B265" s="1" t="n">
        <v>44980</v>
      </c>
      <c r="C265" s="1" t="n">
        <v>45877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9118-2023</t>
        </is>
      </c>
      <c r="B266" s="1" t="n">
        <v>44980</v>
      </c>
      <c r="C266" s="1" t="n">
        <v>45877</v>
      </c>
      <c r="D266" t="inlineStr">
        <is>
          <t>ÖSTERGÖTLANDS LÄN</t>
        </is>
      </c>
      <c r="E266" t="inlineStr">
        <is>
          <t>BOXHOLM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9116-2023</t>
        </is>
      </c>
      <c r="B267" s="1" t="n">
        <v>44980</v>
      </c>
      <c r="C267" s="1" t="n">
        <v>45877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9117-2023</t>
        </is>
      </c>
      <c r="B268" s="1" t="n">
        <v>44980</v>
      </c>
      <c r="C268" s="1" t="n">
        <v>45877</v>
      </c>
      <c r="D268" t="inlineStr">
        <is>
          <t>ÖSTERGÖTLANDS LÄN</t>
        </is>
      </c>
      <c r="E268" t="inlineStr">
        <is>
          <t>BOXHOLM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10250-2023</t>
        </is>
      </c>
      <c r="B269" s="1" t="n">
        <v>44980</v>
      </c>
      <c r="C269" s="1" t="n">
        <v>45877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14151-2023</t>
        </is>
      </c>
      <c r="B270" s="1" t="n">
        <v>45008</v>
      </c>
      <c r="C270" s="1" t="n">
        <v>45877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14628-2023</t>
        </is>
      </c>
      <c r="B271" s="1" t="n">
        <v>45013</v>
      </c>
      <c r="C271" s="1" t="n">
        <v>45877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14627-2023</t>
        </is>
      </c>
      <c r="B272" s="1" t="n">
        <v>45013</v>
      </c>
      <c r="C272" s="1" t="n">
        <v>45877</v>
      </c>
      <c r="D272" t="inlineStr">
        <is>
          <t>ÖSTERGÖTLANDS LÄN</t>
        </is>
      </c>
      <c r="E272" t="inlineStr">
        <is>
          <t>BOXHOLM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15498-2023</t>
        </is>
      </c>
      <c r="B273" s="1" t="n">
        <v>45020</v>
      </c>
      <c r="C273" s="1" t="n">
        <v>45877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15476-2023</t>
        </is>
      </c>
      <c r="B274" s="1" t="n">
        <v>45020</v>
      </c>
      <c r="C274" s="1" t="n">
        <v>45877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15501-2023</t>
        </is>
      </c>
      <c r="B275" s="1" t="n">
        <v>45020</v>
      </c>
      <c r="C275" s="1" t="n">
        <v>45877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15505-2023</t>
        </is>
      </c>
      <c r="B276" s="1" t="n">
        <v>45020</v>
      </c>
      <c r="C276" s="1" t="n">
        <v>45877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15502-2023</t>
        </is>
      </c>
      <c r="B277" s="1" t="n">
        <v>45020</v>
      </c>
      <c r="C277" s="1" t="n">
        <v>45877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</v>
      </c>
      <c r="C278" s="1" t="n">
        <v>45877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15504-2023</t>
        </is>
      </c>
      <c r="B279" s="1" t="n">
        <v>45020</v>
      </c>
      <c r="C279" s="1" t="n">
        <v>45877</v>
      </c>
      <c r="D279" t="inlineStr">
        <is>
          <t>ÖSTERGÖTLANDS LÄN</t>
        </is>
      </c>
      <c r="E279" t="inlineStr">
        <is>
          <t>BOXHOLM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15526-2023</t>
        </is>
      </c>
      <c r="B280" s="1" t="n">
        <v>45020</v>
      </c>
      <c r="C280" s="1" t="n">
        <v>45877</v>
      </c>
      <c r="D280" t="inlineStr">
        <is>
          <t>ÖSTERGÖTLANDS LÄN</t>
        </is>
      </c>
      <c r="E280" t="inlineStr">
        <is>
          <t>BOXHOLM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15600-2023</t>
        </is>
      </c>
      <c r="B281" s="1" t="n">
        <v>45020</v>
      </c>
      <c r="C281" s="1" t="n">
        <v>45877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15769-2023</t>
        </is>
      </c>
      <c r="B282" s="1" t="n">
        <v>45021</v>
      </c>
      <c r="C282" s="1" t="n">
        <v>45877</v>
      </c>
      <c r="D282" t="inlineStr">
        <is>
          <t>ÖSTERGÖTLANDS LÄN</t>
        </is>
      </c>
      <c r="E282" t="inlineStr">
        <is>
          <t>BOXHOLM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15746-2023</t>
        </is>
      </c>
      <c r="B283" s="1" t="n">
        <v>45021</v>
      </c>
      <c r="C283" s="1" t="n">
        <v>45877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15764-2023</t>
        </is>
      </c>
      <c r="B284" s="1" t="n">
        <v>45021</v>
      </c>
      <c r="C284" s="1" t="n">
        <v>45877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16156-2023</t>
        </is>
      </c>
      <c r="B285" s="1" t="n">
        <v>45027</v>
      </c>
      <c r="C285" s="1" t="n">
        <v>45877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16146-2023</t>
        </is>
      </c>
      <c r="B286" s="1" t="n">
        <v>45027</v>
      </c>
      <c r="C286" s="1" t="n">
        <v>45877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16158-2023</t>
        </is>
      </c>
      <c r="B287" s="1" t="n">
        <v>45027</v>
      </c>
      <c r="C287" s="1" t="n">
        <v>45877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16620-2023</t>
        </is>
      </c>
      <c r="B288" s="1" t="n">
        <v>45030</v>
      </c>
      <c r="C288" s="1" t="n">
        <v>45877</v>
      </c>
      <c r="D288" t="inlineStr">
        <is>
          <t>ÖSTERGÖTLANDS LÄN</t>
        </is>
      </c>
      <c r="E288" t="inlineStr">
        <is>
          <t>BOXHOLM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16619-2023</t>
        </is>
      </c>
      <c r="B289" s="1" t="n">
        <v>45030</v>
      </c>
      <c r="C289" s="1" t="n">
        <v>45877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18746-2023</t>
        </is>
      </c>
      <c r="B290" s="1" t="n">
        <v>45043</v>
      </c>
      <c r="C290" s="1" t="n">
        <v>45877</v>
      </c>
      <c r="D290" t="inlineStr">
        <is>
          <t>ÖSTERGÖTLANDS LÄN</t>
        </is>
      </c>
      <c r="E290" t="inlineStr">
        <is>
          <t>BOXHOLM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</v>
      </c>
      <c r="C291" s="1" t="n">
        <v>45877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21151-2023</t>
        </is>
      </c>
      <c r="B292" s="1" t="n">
        <v>45062</v>
      </c>
      <c r="C292" s="1" t="n">
        <v>45877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21634-2023</t>
        </is>
      </c>
      <c r="B293" s="1" t="n">
        <v>45062</v>
      </c>
      <c r="C293" s="1" t="n">
        <v>45877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21635-2023</t>
        </is>
      </c>
      <c r="B294" s="1" t="n">
        <v>45062</v>
      </c>
      <c r="C294" s="1" t="n">
        <v>45877</v>
      </c>
      <c r="D294" t="inlineStr">
        <is>
          <t>ÖSTERGÖTLANDS LÄN</t>
        </is>
      </c>
      <c r="E294" t="inlineStr">
        <is>
          <t>BOXHOLM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21754-2023</t>
        </is>
      </c>
      <c r="B295" s="1" t="n">
        <v>45063</v>
      </c>
      <c r="C295" s="1" t="n">
        <v>45877</v>
      </c>
      <c r="D295" t="inlineStr">
        <is>
          <t>ÖSTERGÖTLANDS LÄN</t>
        </is>
      </c>
      <c r="E295" t="inlineStr">
        <is>
          <t>BOXHOLM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22433-2023</t>
        </is>
      </c>
      <c r="B296" s="1" t="n">
        <v>45070</v>
      </c>
      <c r="C296" s="1" t="n">
        <v>45877</v>
      </c>
      <c r="D296" t="inlineStr">
        <is>
          <t>ÖSTERGÖTLANDS LÄN</t>
        </is>
      </c>
      <c r="E296" t="inlineStr">
        <is>
          <t>BOXHOLM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22434-2023</t>
        </is>
      </c>
      <c r="B297" s="1" t="n">
        <v>45070</v>
      </c>
      <c r="C297" s="1" t="n">
        <v>45877</v>
      </c>
      <c r="D297" t="inlineStr">
        <is>
          <t>ÖSTERGÖTLANDS LÄN</t>
        </is>
      </c>
      <c r="E297" t="inlineStr">
        <is>
          <t>BOXHOLM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22853-2023</t>
        </is>
      </c>
      <c r="B298" s="1" t="n">
        <v>45072</v>
      </c>
      <c r="C298" s="1" t="n">
        <v>45877</v>
      </c>
      <c r="D298" t="inlineStr">
        <is>
          <t>ÖSTERGÖTLANDS LÄN</t>
        </is>
      </c>
      <c r="E298" t="inlineStr">
        <is>
          <t>BOXHOLM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22856-2023</t>
        </is>
      </c>
      <c r="B299" s="1" t="n">
        <v>45072</v>
      </c>
      <c r="C299" s="1" t="n">
        <v>45877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23834-2023</t>
        </is>
      </c>
      <c r="B300" s="1" t="n">
        <v>45078</v>
      </c>
      <c r="C300" s="1" t="n">
        <v>45877</v>
      </c>
      <c r="D300" t="inlineStr">
        <is>
          <t>ÖSTERGÖTLANDS LÄN</t>
        </is>
      </c>
      <c r="E300" t="inlineStr">
        <is>
          <t>BOXHOLM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23857-2023</t>
        </is>
      </c>
      <c r="B301" s="1" t="n">
        <v>45078</v>
      </c>
      <c r="C301" s="1" t="n">
        <v>45877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24122-2023</t>
        </is>
      </c>
      <c r="B302" s="1" t="n">
        <v>45079</v>
      </c>
      <c r="C302" s="1" t="n">
        <v>45877</v>
      </c>
      <c r="D302" t="inlineStr">
        <is>
          <t>ÖSTERGÖTLANDS LÄN</t>
        </is>
      </c>
      <c r="E302" t="inlineStr">
        <is>
          <t>BOXHOLM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25230-2023</t>
        </is>
      </c>
      <c r="B303" s="1" t="n">
        <v>45086</v>
      </c>
      <c r="C303" s="1" t="n">
        <v>45877</v>
      </c>
      <c r="D303" t="inlineStr">
        <is>
          <t>ÖSTERGÖTLANDS LÄN</t>
        </is>
      </c>
      <c r="E303" t="inlineStr">
        <is>
          <t>BOXHOLM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25226-2023</t>
        </is>
      </c>
      <c r="B304" s="1" t="n">
        <v>45086</v>
      </c>
      <c r="C304" s="1" t="n">
        <v>45877</v>
      </c>
      <c r="D304" t="inlineStr">
        <is>
          <t>ÖSTERGÖTLANDS LÄN</t>
        </is>
      </c>
      <c r="E304" t="inlineStr">
        <is>
          <t>BOXHOLM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25254-2023</t>
        </is>
      </c>
      <c r="B305" s="1" t="n">
        <v>45086</v>
      </c>
      <c r="C305" s="1" t="n">
        <v>45877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25274-2023</t>
        </is>
      </c>
      <c r="B306" s="1" t="n">
        <v>45086</v>
      </c>
      <c r="C306" s="1" t="n">
        <v>45877</v>
      </c>
      <c r="D306" t="inlineStr">
        <is>
          <t>ÖSTERGÖTLANDS LÄN</t>
        </is>
      </c>
      <c r="E306" t="inlineStr">
        <is>
          <t>BOXHOLM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25431-2023</t>
        </is>
      </c>
      <c r="B307" s="1" t="n">
        <v>45089</v>
      </c>
      <c r="C307" s="1" t="n">
        <v>45877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25439-2023</t>
        </is>
      </c>
      <c r="B308" s="1" t="n">
        <v>45089</v>
      </c>
      <c r="C308" s="1" t="n">
        <v>45877</v>
      </c>
      <c r="D308" t="inlineStr">
        <is>
          <t>ÖSTERGÖTLANDS LÄN</t>
        </is>
      </c>
      <c r="E308" t="inlineStr">
        <is>
          <t>BOXHOLM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26638-2023</t>
        </is>
      </c>
      <c r="B309" s="1" t="n">
        <v>45092</v>
      </c>
      <c r="C309" s="1" t="n">
        <v>45877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27454-2023</t>
        </is>
      </c>
      <c r="B310" s="1" t="n">
        <v>45097</v>
      </c>
      <c r="C310" s="1" t="n">
        <v>45877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27647-2023</t>
        </is>
      </c>
      <c r="B311" s="1" t="n">
        <v>45097</v>
      </c>
      <c r="C311" s="1" t="n">
        <v>45877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29396-2023</t>
        </is>
      </c>
      <c r="B312" s="1" t="n">
        <v>45106</v>
      </c>
      <c r="C312" s="1" t="n">
        <v>45877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31675-2023</t>
        </is>
      </c>
      <c r="B313" s="1" t="n">
        <v>45117</v>
      </c>
      <c r="C313" s="1" t="n">
        <v>45877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31673-2023</t>
        </is>
      </c>
      <c r="B314" s="1" t="n">
        <v>45117</v>
      </c>
      <c r="C314" s="1" t="n">
        <v>45877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32935-2023</t>
        </is>
      </c>
      <c r="B315" s="1" t="n">
        <v>45125</v>
      </c>
      <c r="C315" s="1" t="n">
        <v>45877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34806-2023</t>
        </is>
      </c>
      <c r="B316" s="1" t="n">
        <v>45141</v>
      </c>
      <c r="C316" s="1" t="n">
        <v>45877</v>
      </c>
      <c r="D316" t="inlineStr">
        <is>
          <t>ÖSTERGÖTLANDS LÄN</t>
        </is>
      </c>
      <c r="E316" t="inlineStr">
        <is>
          <t>BOXHOLM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34812-2023</t>
        </is>
      </c>
      <c r="B317" s="1" t="n">
        <v>45141</v>
      </c>
      <c r="C317" s="1" t="n">
        <v>45877</v>
      </c>
      <c r="D317" t="inlineStr">
        <is>
          <t>ÖSTERGÖTLANDS LÄN</t>
        </is>
      </c>
      <c r="E317" t="inlineStr">
        <is>
          <t>BOXHOLM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34839-2023</t>
        </is>
      </c>
      <c r="B318" s="1" t="n">
        <v>45141</v>
      </c>
      <c r="C318" s="1" t="n">
        <v>45877</v>
      </c>
      <c r="D318" t="inlineStr">
        <is>
          <t>ÖSTERGÖTLANDS LÄN</t>
        </is>
      </c>
      <c r="E318" t="inlineStr">
        <is>
          <t>BOXHOLM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34811-2023</t>
        </is>
      </c>
      <c r="B319" s="1" t="n">
        <v>45141</v>
      </c>
      <c r="C319" s="1" t="n">
        <v>45877</v>
      </c>
      <c r="D319" t="inlineStr">
        <is>
          <t>ÖSTERGÖTLANDS LÄN</t>
        </is>
      </c>
      <c r="E319" t="inlineStr">
        <is>
          <t>BOXHOLM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34815-2023</t>
        </is>
      </c>
      <c r="B320" s="1" t="n">
        <v>45141</v>
      </c>
      <c r="C320" s="1" t="n">
        <v>45877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35091-2023</t>
        </is>
      </c>
      <c r="B321" s="1" t="n">
        <v>45145</v>
      </c>
      <c r="C321" s="1" t="n">
        <v>45877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35081-2023</t>
        </is>
      </c>
      <c r="B322" s="1" t="n">
        <v>45145</v>
      </c>
      <c r="C322" s="1" t="n">
        <v>45877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35099-2023</t>
        </is>
      </c>
      <c r="B323" s="1" t="n">
        <v>45145</v>
      </c>
      <c r="C323" s="1" t="n">
        <v>45877</v>
      </c>
      <c r="D323" t="inlineStr">
        <is>
          <t>ÖSTERGÖTLANDS LÄN</t>
        </is>
      </c>
      <c r="E323" t="inlineStr">
        <is>
          <t>BOXHOLM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35345-2023</t>
        </is>
      </c>
      <c r="B324" s="1" t="n">
        <v>45146</v>
      </c>
      <c r="C324" s="1" t="n">
        <v>45877</v>
      </c>
      <c r="D324" t="inlineStr">
        <is>
          <t>ÖSTERGÖTLANDS LÄN</t>
        </is>
      </c>
      <c r="E324" t="inlineStr">
        <is>
          <t>BOXHOLM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35357-2023</t>
        </is>
      </c>
      <c r="B325" s="1" t="n">
        <v>45146</v>
      </c>
      <c r="C325" s="1" t="n">
        <v>45877</v>
      </c>
      <c r="D325" t="inlineStr">
        <is>
          <t>ÖSTERGÖTLANDS LÄN</t>
        </is>
      </c>
      <c r="E325" t="inlineStr">
        <is>
          <t>BOXHOLM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35337-2023</t>
        </is>
      </c>
      <c r="B326" s="1" t="n">
        <v>45146</v>
      </c>
      <c r="C326" s="1" t="n">
        <v>45877</v>
      </c>
      <c r="D326" t="inlineStr">
        <is>
          <t>ÖSTERGÖTLANDS LÄN</t>
        </is>
      </c>
      <c r="E326" t="inlineStr">
        <is>
          <t>BOXHOLM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35343-2023</t>
        </is>
      </c>
      <c r="B327" s="1" t="n">
        <v>45146</v>
      </c>
      <c r="C327" s="1" t="n">
        <v>45877</v>
      </c>
      <c r="D327" t="inlineStr">
        <is>
          <t>ÖSTERGÖTLANDS LÄN</t>
        </is>
      </c>
      <c r="E327" t="inlineStr">
        <is>
          <t>BOXHOLM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35432-2023</t>
        </is>
      </c>
      <c r="B328" s="1" t="n">
        <v>45146</v>
      </c>
      <c r="C328" s="1" t="n">
        <v>45877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35648-2023</t>
        </is>
      </c>
      <c r="B329" s="1" t="n">
        <v>45147</v>
      </c>
      <c r="C329" s="1" t="n">
        <v>45877</v>
      </c>
      <c r="D329" t="inlineStr">
        <is>
          <t>ÖSTERGÖTLANDS LÄN</t>
        </is>
      </c>
      <c r="E329" t="inlineStr">
        <is>
          <t>BOXHOLM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36491-2023</t>
        </is>
      </c>
      <c r="B330" s="1" t="n">
        <v>45152</v>
      </c>
      <c r="C330" s="1" t="n">
        <v>45877</v>
      </c>
      <c r="D330" t="inlineStr">
        <is>
          <t>ÖSTERGÖTLANDS LÄN</t>
        </is>
      </c>
      <c r="E330" t="inlineStr">
        <is>
          <t>BOXHOLM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37400-2023</t>
        </is>
      </c>
      <c r="B331" s="1" t="n">
        <v>45156</v>
      </c>
      <c r="C331" s="1" t="n">
        <v>45877</v>
      </c>
      <c r="D331" t="inlineStr">
        <is>
          <t>ÖSTERGÖTLANDS LÄN</t>
        </is>
      </c>
      <c r="E331" t="inlineStr">
        <is>
          <t>BOXHOLM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37404-2023</t>
        </is>
      </c>
      <c r="B332" s="1" t="n">
        <v>45156</v>
      </c>
      <c r="C332" s="1" t="n">
        <v>45877</v>
      </c>
      <c r="D332" t="inlineStr">
        <is>
          <t>ÖSTERGÖTLANDS LÄN</t>
        </is>
      </c>
      <c r="E332" t="inlineStr">
        <is>
          <t>BOXHOLM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37405-2023</t>
        </is>
      </c>
      <c r="B333" s="1" t="n">
        <v>45156</v>
      </c>
      <c r="C333" s="1" t="n">
        <v>45877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37393-2023</t>
        </is>
      </c>
      <c r="B334" s="1" t="n">
        <v>45156</v>
      </c>
      <c r="C334" s="1" t="n">
        <v>45877</v>
      </c>
      <c r="D334" t="inlineStr">
        <is>
          <t>ÖSTERGÖTLANDS LÄN</t>
        </is>
      </c>
      <c r="E334" t="inlineStr">
        <is>
          <t>BOXHOLM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37390-2023</t>
        </is>
      </c>
      <c r="B335" s="1" t="n">
        <v>45156</v>
      </c>
      <c r="C335" s="1" t="n">
        <v>45877</v>
      </c>
      <c r="D335" t="inlineStr">
        <is>
          <t>ÖSTERGÖTLANDS LÄN</t>
        </is>
      </c>
      <c r="E335" t="inlineStr">
        <is>
          <t>BOXHOLM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37629-2023</t>
        </is>
      </c>
      <c r="B336" s="1" t="n">
        <v>45159</v>
      </c>
      <c r="C336" s="1" t="n">
        <v>45877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38191-2023</t>
        </is>
      </c>
      <c r="B337" s="1" t="n">
        <v>45161</v>
      </c>
      <c r="C337" s="1" t="n">
        <v>45877</v>
      </c>
      <c r="D337" t="inlineStr">
        <is>
          <t>ÖSTERGÖTLANDS LÄN</t>
        </is>
      </c>
      <c r="E337" t="inlineStr">
        <is>
          <t>BOXHOLM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39029-2023</t>
        </is>
      </c>
      <c r="B338" s="1" t="n">
        <v>45163</v>
      </c>
      <c r="C338" s="1" t="n">
        <v>45877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39033-2023</t>
        </is>
      </c>
      <c r="B339" s="1" t="n">
        <v>45163</v>
      </c>
      <c r="C339" s="1" t="n">
        <v>45877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39031-2023</t>
        </is>
      </c>
      <c r="B340" s="1" t="n">
        <v>45163</v>
      </c>
      <c r="C340" s="1" t="n">
        <v>45877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39035-2023</t>
        </is>
      </c>
      <c r="B341" s="1" t="n">
        <v>45163</v>
      </c>
      <c r="C341" s="1" t="n">
        <v>45877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39028-2023</t>
        </is>
      </c>
      <c r="B342" s="1" t="n">
        <v>45163</v>
      </c>
      <c r="C342" s="1" t="n">
        <v>45877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42769-2023</t>
        </is>
      </c>
      <c r="B343" s="1" t="n">
        <v>45181</v>
      </c>
      <c r="C343" s="1" t="n">
        <v>45877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42767-2023</t>
        </is>
      </c>
      <c r="B344" s="1" t="n">
        <v>45181</v>
      </c>
      <c r="C344" s="1" t="n">
        <v>45877</v>
      </c>
      <c r="D344" t="inlineStr">
        <is>
          <t>ÖSTERGÖTLANDS LÄN</t>
        </is>
      </c>
      <c r="E344" t="inlineStr">
        <is>
          <t>BOXHOLM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43824-2023</t>
        </is>
      </c>
      <c r="B345" s="1" t="n">
        <v>45187</v>
      </c>
      <c r="C345" s="1" t="n">
        <v>45877</v>
      </c>
      <c r="D345" t="inlineStr">
        <is>
          <t>ÖSTERGÖTLANDS LÄN</t>
        </is>
      </c>
      <c r="E345" t="inlineStr">
        <is>
          <t>BOXHOLM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43807-2023</t>
        </is>
      </c>
      <c r="B346" s="1" t="n">
        <v>45187</v>
      </c>
      <c r="C346" s="1" t="n">
        <v>45877</v>
      </c>
      <c r="D346" t="inlineStr">
        <is>
          <t>ÖSTERGÖTLANDS LÄN</t>
        </is>
      </c>
      <c r="E346" t="inlineStr">
        <is>
          <t>BOXHOLM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44823-2023</t>
        </is>
      </c>
      <c r="B347" s="1" t="n">
        <v>45190</v>
      </c>
      <c r="C347" s="1" t="n">
        <v>45877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44896-2023</t>
        </is>
      </c>
      <c r="B348" s="1" t="n">
        <v>45190</v>
      </c>
      <c r="C348" s="1" t="n">
        <v>45877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46316-2023</t>
        </is>
      </c>
      <c r="B349" s="1" t="n">
        <v>45197</v>
      </c>
      <c r="C349" s="1" t="n">
        <v>45877</v>
      </c>
      <c r="D349" t="inlineStr">
        <is>
          <t>ÖSTERGÖTLANDS LÄN</t>
        </is>
      </c>
      <c r="E349" t="inlineStr">
        <is>
          <t>BOXHOLM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47713-2023</t>
        </is>
      </c>
      <c r="B350" s="1" t="n">
        <v>45203</v>
      </c>
      <c r="C350" s="1" t="n">
        <v>45877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47978-2023</t>
        </is>
      </c>
      <c r="B351" s="1" t="n">
        <v>45204</v>
      </c>
      <c r="C351" s="1" t="n">
        <v>45877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48317-2023</t>
        </is>
      </c>
      <c r="B352" s="1" t="n">
        <v>45205</v>
      </c>
      <c r="C352" s="1" t="n">
        <v>45877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49065-2023</t>
        </is>
      </c>
      <c r="B353" s="1" t="n">
        <v>45210</v>
      </c>
      <c r="C353" s="1" t="n">
        <v>45877</v>
      </c>
      <c r="D353" t="inlineStr">
        <is>
          <t>ÖSTERGÖTLANDS LÄN</t>
        </is>
      </c>
      <c r="E353" t="inlineStr">
        <is>
          <t>BOXHOLM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49069-2023</t>
        </is>
      </c>
      <c r="B354" s="1" t="n">
        <v>45210</v>
      </c>
      <c r="C354" s="1" t="n">
        <v>45877</v>
      </c>
      <c r="D354" t="inlineStr">
        <is>
          <t>ÖSTERGÖTLANDS LÄN</t>
        </is>
      </c>
      <c r="E354" t="inlineStr">
        <is>
          <t>BOXHOLM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49050-2023</t>
        </is>
      </c>
      <c r="B355" s="1" t="n">
        <v>45210</v>
      </c>
      <c r="C355" s="1" t="n">
        <v>45877</v>
      </c>
      <c r="D355" t="inlineStr">
        <is>
          <t>ÖSTERGÖTLANDS LÄN</t>
        </is>
      </c>
      <c r="E355" t="inlineStr">
        <is>
          <t>BOXHOLM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49089-2023</t>
        </is>
      </c>
      <c r="B356" s="1" t="n">
        <v>45210</v>
      </c>
      <c r="C356" s="1" t="n">
        <v>45877</v>
      </c>
      <c r="D356" t="inlineStr">
        <is>
          <t>ÖSTERGÖTLANDS LÄN</t>
        </is>
      </c>
      <c r="E356" t="inlineStr">
        <is>
          <t>BOXHOLM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49080-2023</t>
        </is>
      </c>
      <c r="B357" s="1" t="n">
        <v>45210</v>
      </c>
      <c r="C357" s="1" t="n">
        <v>45877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49077-2023</t>
        </is>
      </c>
      <c r="B358" s="1" t="n">
        <v>45210</v>
      </c>
      <c r="C358" s="1" t="n">
        <v>45877</v>
      </c>
      <c r="D358" t="inlineStr">
        <is>
          <t>ÖSTERGÖTLANDS LÄN</t>
        </is>
      </c>
      <c r="E358" t="inlineStr">
        <is>
          <t>BOXHOLM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49669-2023</t>
        </is>
      </c>
      <c r="B359" s="1" t="n">
        <v>45212</v>
      </c>
      <c r="C359" s="1" t="n">
        <v>45877</v>
      </c>
      <c r="D359" t="inlineStr">
        <is>
          <t>ÖSTERGÖTLANDS LÄN</t>
        </is>
      </c>
      <c r="E359" t="inlineStr">
        <is>
          <t>BOXHOLM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49671-2023</t>
        </is>
      </c>
      <c r="B360" s="1" t="n">
        <v>45212</v>
      </c>
      <c r="C360" s="1" t="n">
        <v>45877</v>
      </c>
      <c r="D360" t="inlineStr">
        <is>
          <t>ÖSTERGÖTLANDS LÄN</t>
        </is>
      </c>
      <c r="E360" t="inlineStr">
        <is>
          <t>BOXHOLM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49670-2023</t>
        </is>
      </c>
      <c r="B361" s="1" t="n">
        <v>45212</v>
      </c>
      <c r="C361" s="1" t="n">
        <v>45877</v>
      </c>
      <c r="D361" t="inlineStr">
        <is>
          <t>ÖSTERGÖTLANDS LÄN</t>
        </is>
      </c>
      <c r="E361" t="inlineStr">
        <is>
          <t>BOXHOLM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51268-2023</t>
        </is>
      </c>
      <c r="B362" s="1" t="n">
        <v>45219</v>
      </c>
      <c r="C362" s="1" t="n">
        <v>45877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51449-2023</t>
        </is>
      </c>
      <c r="B363" s="1" t="n">
        <v>45220</v>
      </c>
      <c r="C363" s="1" t="n">
        <v>45877</v>
      </c>
      <c r="D363" t="inlineStr">
        <is>
          <t>ÖSTERGÖTLANDS LÄN</t>
        </is>
      </c>
      <c r="E363" t="inlineStr">
        <is>
          <t>BOXHOLM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51447-2023</t>
        </is>
      </c>
      <c r="B364" s="1" t="n">
        <v>45220</v>
      </c>
      <c r="C364" s="1" t="n">
        <v>45877</v>
      </c>
      <c r="D364" t="inlineStr">
        <is>
          <t>ÖSTERGÖTLANDS LÄN</t>
        </is>
      </c>
      <c r="E364" t="inlineStr">
        <is>
          <t>BOXHOLM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51448-2023</t>
        </is>
      </c>
      <c r="B365" s="1" t="n">
        <v>45220</v>
      </c>
      <c r="C365" s="1" t="n">
        <v>45877</v>
      </c>
      <c r="D365" t="inlineStr">
        <is>
          <t>ÖSTERGÖTLANDS LÄN</t>
        </is>
      </c>
      <c r="E365" t="inlineStr">
        <is>
          <t>BOXHOLM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51551-2023</t>
        </is>
      </c>
      <c r="B366" s="1" t="n">
        <v>45222</v>
      </c>
      <c r="C366" s="1" t="n">
        <v>45877</v>
      </c>
      <c r="D366" t="inlineStr">
        <is>
          <t>ÖSTERGÖTLANDS LÄN</t>
        </is>
      </c>
      <c r="E366" t="inlineStr">
        <is>
          <t>BOXHOLM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51558-2023</t>
        </is>
      </c>
      <c r="B367" s="1" t="n">
        <v>45222</v>
      </c>
      <c r="C367" s="1" t="n">
        <v>45877</v>
      </c>
      <c r="D367" t="inlineStr">
        <is>
          <t>ÖSTERGÖTLANDS LÄN</t>
        </is>
      </c>
      <c r="E367" t="inlineStr">
        <is>
          <t>BOXHOLM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51763-2023</t>
        </is>
      </c>
      <c r="B368" s="1" t="n">
        <v>45222</v>
      </c>
      <c r="C368" s="1" t="n">
        <v>45877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51708-2023</t>
        </is>
      </c>
      <c r="B369" s="1" t="n">
        <v>45222</v>
      </c>
      <c r="C369" s="1" t="n">
        <v>45877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24.2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51718-2023</t>
        </is>
      </c>
      <c r="B370" s="1" t="n">
        <v>45222</v>
      </c>
      <c r="C370" s="1" t="n">
        <v>45877</v>
      </c>
      <c r="D370" t="inlineStr">
        <is>
          <t>ÖSTERGÖTLANDS LÄN</t>
        </is>
      </c>
      <c r="E370" t="inlineStr">
        <is>
          <t>BOXHOLM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51757-2023</t>
        </is>
      </c>
      <c r="B371" s="1" t="n">
        <v>45222</v>
      </c>
      <c r="C371" s="1" t="n">
        <v>45877</v>
      </c>
      <c r="D371" t="inlineStr">
        <is>
          <t>ÖSTERGÖTLANDS LÄN</t>
        </is>
      </c>
      <c r="E371" t="inlineStr">
        <is>
          <t>BOXHOLM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51545-2023</t>
        </is>
      </c>
      <c r="B372" s="1" t="n">
        <v>45222</v>
      </c>
      <c r="C372" s="1" t="n">
        <v>45877</v>
      </c>
      <c r="D372" t="inlineStr">
        <is>
          <t>ÖSTERGÖTLANDS LÄN</t>
        </is>
      </c>
      <c r="E372" t="inlineStr">
        <is>
          <t>BOXHOLM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51948-2023</t>
        </is>
      </c>
      <c r="B373" s="1" t="n">
        <v>45223</v>
      </c>
      <c r="C373" s="1" t="n">
        <v>45877</v>
      </c>
      <c r="D373" t="inlineStr">
        <is>
          <t>ÖSTERGÖTLANDS LÄN</t>
        </is>
      </c>
      <c r="E373" t="inlineStr">
        <is>
          <t>BOXHOLM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51947-2023</t>
        </is>
      </c>
      <c r="B374" s="1" t="n">
        <v>45223</v>
      </c>
      <c r="C374" s="1" t="n">
        <v>45877</v>
      </c>
      <c r="D374" t="inlineStr">
        <is>
          <t>ÖSTERGÖTLANDS LÄN</t>
        </is>
      </c>
      <c r="E374" t="inlineStr">
        <is>
          <t>BOXHOLM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52964-2023</t>
        </is>
      </c>
      <c r="B375" s="1" t="n">
        <v>45226</v>
      </c>
      <c r="C375" s="1" t="n">
        <v>45877</v>
      </c>
      <c r="D375" t="inlineStr">
        <is>
          <t>ÖSTERGÖTLANDS LÄN</t>
        </is>
      </c>
      <c r="E375" t="inlineStr">
        <is>
          <t>BOXHOLM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54393-2023</t>
        </is>
      </c>
      <c r="B376" s="1" t="n">
        <v>45233</v>
      </c>
      <c r="C376" s="1" t="n">
        <v>45877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55624-2023</t>
        </is>
      </c>
      <c r="B377" s="1" t="n">
        <v>45238</v>
      </c>
      <c r="C377" s="1" t="n">
        <v>45877</v>
      </c>
      <c r="D377" t="inlineStr">
        <is>
          <t>ÖSTERGÖTLANDS LÄN</t>
        </is>
      </c>
      <c r="E377" t="inlineStr">
        <is>
          <t>BOXHOLM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56106-2023</t>
        </is>
      </c>
      <c r="B378" s="1" t="n">
        <v>45240</v>
      </c>
      <c r="C378" s="1" t="n">
        <v>45877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56341-2023</t>
        </is>
      </c>
      <c r="B379" s="1" t="n">
        <v>45243</v>
      </c>
      <c r="C379" s="1" t="n">
        <v>45877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57442-2023</t>
        </is>
      </c>
      <c r="B380" s="1" t="n">
        <v>45246</v>
      </c>
      <c r="C380" s="1" t="n">
        <v>45877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57525-2023</t>
        </is>
      </c>
      <c r="B381" s="1" t="n">
        <v>45246</v>
      </c>
      <c r="C381" s="1" t="n">
        <v>45877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57570-2023</t>
        </is>
      </c>
      <c r="B382" s="1" t="n">
        <v>45246</v>
      </c>
      <c r="C382" s="1" t="n">
        <v>45877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58934-2023</t>
        </is>
      </c>
      <c r="B383" s="1" t="n">
        <v>45252</v>
      </c>
      <c r="C383" s="1" t="n">
        <v>45877</v>
      </c>
      <c r="D383" t="inlineStr">
        <is>
          <t>ÖSTERGÖTLANDS LÄN</t>
        </is>
      </c>
      <c r="E383" t="inlineStr">
        <is>
          <t>BOXHOLM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59106-2023</t>
        </is>
      </c>
      <c r="B384" s="1" t="n">
        <v>45253</v>
      </c>
      <c r="C384" s="1" t="n">
        <v>45877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59111-2023</t>
        </is>
      </c>
      <c r="B385" s="1" t="n">
        <v>45253</v>
      </c>
      <c r="C385" s="1" t="n">
        <v>45877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60210-2023</t>
        </is>
      </c>
      <c r="B386" s="1" t="n">
        <v>45258</v>
      </c>
      <c r="C386" s="1" t="n">
        <v>45877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60790-2023</t>
        </is>
      </c>
      <c r="B387" s="1" t="n">
        <v>45259</v>
      </c>
      <c r="C387" s="1" t="n">
        <v>45877</v>
      </c>
      <c r="D387" t="inlineStr">
        <is>
          <t>ÖSTERGÖTLANDS LÄN</t>
        </is>
      </c>
      <c r="E387" t="inlineStr">
        <is>
          <t>BOXHOLM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60797-2023</t>
        </is>
      </c>
      <c r="B388" s="1" t="n">
        <v>45259</v>
      </c>
      <c r="C388" s="1" t="n">
        <v>45877</v>
      </c>
      <c r="D388" t="inlineStr">
        <is>
          <t>ÖSTERGÖTLANDS LÄN</t>
        </is>
      </c>
      <c r="E388" t="inlineStr">
        <is>
          <t>BOXHOLM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62848-2023</t>
        </is>
      </c>
      <c r="B389" s="1" t="n">
        <v>45272</v>
      </c>
      <c r="C389" s="1" t="n">
        <v>45877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62851-2023</t>
        </is>
      </c>
      <c r="B390" s="1" t="n">
        <v>45272</v>
      </c>
      <c r="C390" s="1" t="n">
        <v>45877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63651-2023</t>
        </is>
      </c>
      <c r="B391" s="1" t="n">
        <v>45275</v>
      </c>
      <c r="C391" s="1" t="n">
        <v>45877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931-2024</t>
        </is>
      </c>
      <c r="B392" s="1" t="n">
        <v>45301</v>
      </c>
      <c r="C392" s="1" t="n">
        <v>45877</v>
      </c>
      <c r="D392" t="inlineStr">
        <is>
          <t>ÖSTERGÖTLANDS LÄN</t>
        </is>
      </c>
      <c r="E392" t="inlineStr">
        <is>
          <t>BOXHOLM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935-2024</t>
        </is>
      </c>
      <c r="B393" s="1" t="n">
        <v>45301</v>
      </c>
      <c r="C393" s="1" t="n">
        <v>45877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956-2024</t>
        </is>
      </c>
      <c r="B394" s="1" t="n">
        <v>45301</v>
      </c>
      <c r="C394" s="1" t="n">
        <v>45877</v>
      </c>
      <c r="D394" t="inlineStr">
        <is>
          <t>ÖSTERGÖTLANDS LÄN</t>
        </is>
      </c>
      <c r="E394" t="inlineStr">
        <is>
          <t>BOXHOLM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960-2024</t>
        </is>
      </c>
      <c r="B395" s="1" t="n">
        <v>45301</v>
      </c>
      <c r="C395" s="1" t="n">
        <v>45877</v>
      </c>
      <c r="D395" t="inlineStr">
        <is>
          <t>ÖSTERGÖTLANDS LÄN</t>
        </is>
      </c>
      <c r="E395" t="inlineStr">
        <is>
          <t>BOXHOLM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929-2024</t>
        </is>
      </c>
      <c r="B396" s="1" t="n">
        <v>45301</v>
      </c>
      <c r="C396" s="1" t="n">
        <v>45877</v>
      </c>
      <c r="D396" t="inlineStr">
        <is>
          <t>ÖSTERGÖTLANDS LÄN</t>
        </is>
      </c>
      <c r="E396" t="inlineStr">
        <is>
          <t>BOXHOLM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933-2024</t>
        </is>
      </c>
      <c r="B397" s="1" t="n">
        <v>45301</v>
      </c>
      <c r="C397" s="1" t="n">
        <v>45877</v>
      </c>
      <c r="D397" t="inlineStr">
        <is>
          <t>ÖSTERGÖTLANDS LÄN</t>
        </is>
      </c>
      <c r="E397" t="inlineStr">
        <is>
          <t>BOXHOLM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957-2024</t>
        </is>
      </c>
      <c r="B398" s="1" t="n">
        <v>45301</v>
      </c>
      <c r="C398" s="1" t="n">
        <v>45877</v>
      </c>
      <c r="D398" t="inlineStr">
        <is>
          <t>ÖSTERGÖTLANDS LÄN</t>
        </is>
      </c>
      <c r="E398" t="inlineStr">
        <is>
          <t>BOXHOLM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965-2024</t>
        </is>
      </c>
      <c r="B399" s="1" t="n">
        <v>45301</v>
      </c>
      <c r="C399" s="1" t="n">
        <v>45877</v>
      </c>
      <c r="D399" t="inlineStr">
        <is>
          <t>ÖSTERGÖTLANDS LÄN</t>
        </is>
      </c>
      <c r="E399" t="inlineStr">
        <is>
          <t>BOXHOLM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954-2024</t>
        </is>
      </c>
      <c r="B400" s="1" t="n">
        <v>45301</v>
      </c>
      <c r="C400" s="1" t="n">
        <v>45877</v>
      </c>
      <c r="D400" t="inlineStr">
        <is>
          <t>ÖSTERGÖTLANDS LÄN</t>
        </is>
      </c>
      <c r="E400" t="inlineStr">
        <is>
          <t>BOXHOLM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966-2024</t>
        </is>
      </c>
      <c r="B401" s="1" t="n">
        <v>45301</v>
      </c>
      <c r="C401" s="1" t="n">
        <v>45877</v>
      </c>
      <c r="D401" t="inlineStr">
        <is>
          <t>ÖSTERGÖTLANDS LÄN</t>
        </is>
      </c>
      <c r="E401" t="inlineStr">
        <is>
          <t>BOXHOLM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1195-2024</t>
        </is>
      </c>
      <c r="B402" s="1" t="n">
        <v>45302</v>
      </c>
      <c r="C402" s="1" t="n">
        <v>45877</v>
      </c>
      <c r="D402" t="inlineStr">
        <is>
          <t>ÖSTERGÖTLANDS LÄN</t>
        </is>
      </c>
      <c r="E402" t="inlineStr">
        <is>
          <t>BOXHOLM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2954-2024</t>
        </is>
      </c>
      <c r="B403" s="1" t="n">
        <v>45315</v>
      </c>
      <c r="C403" s="1" t="n">
        <v>45877</v>
      </c>
      <c r="D403" t="inlineStr">
        <is>
          <t>ÖSTERGÖTLANDS LÄN</t>
        </is>
      </c>
      <c r="E403" t="inlineStr">
        <is>
          <t>BOXHOLM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3569-2024</t>
        </is>
      </c>
      <c r="B404" s="1" t="n">
        <v>45320</v>
      </c>
      <c r="C404" s="1" t="n">
        <v>45877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3710-2024</t>
        </is>
      </c>
      <c r="B405" s="1" t="n">
        <v>45321</v>
      </c>
      <c r="C405" s="1" t="n">
        <v>45877</v>
      </c>
      <c r="D405" t="inlineStr">
        <is>
          <t>ÖSTERGÖTLANDS LÄN</t>
        </is>
      </c>
      <c r="E405" t="inlineStr">
        <is>
          <t>BOXHOLM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4190-2024</t>
        </is>
      </c>
      <c r="B406" s="1" t="n">
        <v>45324</v>
      </c>
      <c r="C406" s="1" t="n">
        <v>45877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4398-2024</t>
        </is>
      </c>
      <c r="B407" s="1" t="n">
        <v>45327</v>
      </c>
      <c r="C407" s="1" t="n">
        <v>45877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4428-2024</t>
        </is>
      </c>
      <c r="B408" s="1" t="n">
        <v>45327</v>
      </c>
      <c r="C408" s="1" t="n">
        <v>45877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4409-2024</t>
        </is>
      </c>
      <c r="B409" s="1" t="n">
        <v>45327</v>
      </c>
      <c r="C409" s="1" t="n">
        <v>45877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4415-2024</t>
        </is>
      </c>
      <c r="B410" s="1" t="n">
        <v>45327</v>
      </c>
      <c r="C410" s="1" t="n">
        <v>45877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4634-2024</t>
        </is>
      </c>
      <c r="B411" s="1" t="n">
        <v>45328</v>
      </c>
      <c r="C411" s="1" t="n">
        <v>45877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4629-2024</t>
        </is>
      </c>
      <c r="B412" s="1" t="n">
        <v>45328</v>
      </c>
      <c r="C412" s="1" t="n">
        <v>45877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5183-2024</t>
        </is>
      </c>
      <c r="B413" s="1" t="n">
        <v>45330</v>
      </c>
      <c r="C413" s="1" t="n">
        <v>45877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5394-2024</t>
        </is>
      </c>
      <c r="B414" s="1" t="n">
        <v>45331</v>
      </c>
      <c r="C414" s="1" t="n">
        <v>45877</v>
      </c>
      <c r="D414" t="inlineStr">
        <is>
          <t>ÖSTERGÖTLANDS LÄN</t>
        </is>
      </c>
      <c r="E414" t="inlineStr">
        <is>
          <t>BOXHOLM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5824-2024</t>
        </is>
      </c>
      <c r="B415" s="1" t="n">
        <v>45335</v>
      </c>
      <c r="C415" s="1" t="n">
        <v>45877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6209-2024</t>
        </is>
      </c>
      <c r="B416" s="1" t="n">
        <v>45337</v>
      </c>
      <c r="C416" s="1" t="n">
        <v>45877</v>
      </c>
      <c r="D416" t="inlineStr">
        <is>
          <t>ÖSTERGÖTLANDS LÄN</t>
        </is>
      </c>
      <c r="E416" t="inlineStr">
        <is>
          <t>BOXHOLM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6884-2024</t>
        </is>
      </c>
      <c r="B417" s="1" t="n">
        <v>45342</v>
      </c>
      <c r="C417" s="1" t="n">
        <v>45877</v>
      </c>
      <c r="D417" t="inlineStr">
        <is>
          <t>ÖSTERGÖTLANDS LÄN</t>
        </is>
      </c>
      <c r="E417" t="inlineStr">
        <is>
          <t>BOXHOLM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6883-2024</t>
        </is>
      </c>
      <c r="B418" s="1" t="n">
        <v>45342</v>
      </c>
      <c r="C418" s="1" t="n">
        <v>45877</v>
      </c>
      <c r="D418" t="inlineStr">
        <is>
          <t>ÖSTERGÖTLANDS LÄN</t>
        </is>
      </c>
      <c r="E418" t="inlineStr">
        <is>
          <t>BOXHOLM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7039-2024</t>
        </is>
      </c>
      <c r="B419" s="1" t="n">
        <v>45343</v>
      </c>
      <c r="C419" s="1" t="n">
        <v>45877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7061-2024</t>
        </is>
      </c>
      <c r="B420" s="1" t="n">
        <v>45343</v>
      </c>
      <c r="C420" s="1" t="n">
        <v>45877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10152-2024</t>
        </is>
      </c>
      <c r="B421" s="1" t="n">
        <v>45364</v>
      </c>
      <c r="C421" s="1" t="n">
        <v>45877</v>
      </c>
      <c r="D421" t="inlineStr">
        <is>
          <t>ÖSTERGÖTLANDS LÄN</t>
        </is>
      </c>
      <c r="E421" t="inlineStr">
        <is>
          <t>BOXHOLM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10331-2024</t>
        </is>
      </c>
      <c r="B422" s="1" t="n">
        <v>45365</v>
      </c>
      <c r="C422" s="1" t="n">
        <v>45877</v>
      </c>
      <c r="D422" t="inlineStr">
        <is>
          <t>ÖSTERGÖTLANDS LÄN</t>
        </is>
      </c>
      <c r="E422" t="inlineStr">
        <is>
          <t>BOXHOLM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10339-2024</t>
        </is>
      </c>
      <c r="B423" s="1" t="n">
        <v>45365</v>
      </c>
      <c r="C423" s="1" t="n">
        <v>45877</v>
      </c>
      <c r="D423" t="inlineStr">
        <is>
          <t>ÖSTERGÖTLANDS LÄN</t>
        </is>
      </c>
      <c r="E423" t="inlineStr">
        <is>
          <t>BOXHOLM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10353-2024</t>
        </is>
      </c>
      <c r="B424" s="1" t="n">
        <v>45365</v>
      </c>
      <c r="C424" s="1" t="n">
        <v>45877</v>
      </c>
      <c r="D424" t="inlineStr">
        <is>
          <t>ÖSTERGÖTLANDS LÄN</t>
        </is>
      </c>
      <c r="E424" t="inlineStr">
        <is>
          <t>BOXHOLM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10347-2024</t>
        </is>
      </c>
      <c r="B425" s="1" t="n">
        <v>45365</v>
      </c>
      <c r="C425" s="1" t="n">
        <v>45877</v>
      </c>
      <c r="D425" t="inlineStr">
        <is>
          <t>ÖSTERGÖTLANDS LÄN</t>
        </is>
      </c>
      <c r="E425" t="inlineStr">
        <is>
          <t>BOXHOLM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11124-2024</t>
        </is>
      </c>
      <c r="B426" s="1" t="n">
        <v>45371</v>
      </c>
      <c r="C426" s="1" t="n">
        <v>45877</v>
      </c>
      <c r="D426" t="inlineStr">
        <is>
          <t>ÖSTERGÖTLANDS LÄN</t>
        </is>
      </c>
      <c r="E426" t="inlineStr">
        <is>
          <t>BOXHOLM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11401-2024</t>
        </is>
      </c>
      <c r="B427" s="1" t="n">
        <v>45372</v>
      </c>
      <c r="C427" s="1" t="n">
        <v>45877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12570-2024</t>
        </is>
      </c>
      <c r="B428" s="1" t="n">
        <v>45379</v>
      </c>
      <c r="C428" s="1" t="n">
        <v>45877</v>
      </c>
      <c r="D428" t="inlineStr">
        <is>
          <t>ÖSTERGÖTLANDS LÄN</t>
        </is>
      </c>
      <c r="E428" t="inlineStr">
        <is>
          <t>BOXHOLM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12460-2024</t>
        </is>
      </c>
      <c r="B429" s="1" t="n">
        <v>45379</v>
      </c>
      <c r="C429" s="1" t="n">
        <v>45877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13109-2024</t>
        </is>
      </c>
      <c r="B430" s="1" t="n">
        <v>45385</v>
      </c>
      <c r="C430" s="1" t="n">
        <v>45877</v>
      </c>
      <c r="D430" t="inlineStr">
        <is>
          <t>ÖSTERGÖTLANDS LÄN</t>
        </is>
      </c>
      <c r="E430" t="inlineStr">
        <is>
          <t>BOXHOLM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13606-2024</t>
        </is>
      </c>
      <c r="B431" s="1" t="n">
        <v>45390</v>
      </c>
      <c r="C431" s="1" t="n">
        <v>45877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14629-2024</t>
        </is>
      </c>
      <c r="B432" s="1" t="n">
        <v>45397</v>
      </c>
      <c r="C432" s="1" t="n">
        <v>45877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15261-2024</t>
        </is>
      </c>
      <c r="B433" s="1" t="n">
        <v>45400</v>
      </c>
      <c r="C433" s="1" t="n">
        <v>45877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18353-2024</t>
        </is>
      </c>
      <c r="B434" s="1" t="n">
        <v>45422</v>
      </c>
      <c r="C434" s="1" t="n">
        <v>45877</v>
      </c>
      <c r="D434" t="inlineStr">
        <is>
          <t>ÖSTERGÖTLANDS LÄN</t>
        </is>
      </c>
      <c r="E434" t="inlineStr">
        <is>
          <t>BOXHOLM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18292-2024</t>
        </is>
      </c>
      <c r="B435" s="1" t="n">
        <v>45422</v>
      </c>
      <c r="C435" s="1" t="n">
        <v>45877</v>
      </c>
      <c r="D435" t="inlineStr">
        <is>
          <t>ÖSTERGÖTLANDS LÄN</t>
        </is>
      </c>
      <c r="E435" t="inlineStr">
        <is>
          <t>BOXHOLM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19561-2024</t>
        </is>
      </c>
      <c r="B436" s="1" t="n">
        <v>45429</v>
      </c>
      <c r="C436" s="1" t="n">
        <v>45877</v>
      </c>
      <c r="D436" t="inlineStr">
        <is>
          <t>ÖSTERGÖTLANDS LÄN</t>
        </is>
      </c>
      <c r="E436" t="inlineStr">
        <is>
          <t>BOXHOLM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19560-2024</t>
        </is>
      </c>
      <c r="B437" s="1" t="n">
        <v>45429</v>
      </c>
      <c r="C437" s="1" t="n">
        <v>45877</v>
      </c>
      <c r="D437" t="inlineStr">
        <is>
          <t>ÖSTERGÖTLANDS LÄN</t>
        </is>
      </c>
      <c r="E437" t="inlineStr">
        <is>
          <t>BOXHOLM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22129-2024</t>
        </is>
      </c>
      <c r="B438" s="1" t="n">
        <v>45444</v>
      </c>
      <c r="C438" s="1" t="n">
        <v>45877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22128-2024</t>
        </is>
      </c>
      <c r="B439" s="1" t="n">
        <v>45444</v>
      </c>
      <c r="C439" s="1" t="n">
        <v>45877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24508-2024</t>
        </is>
      </c>
      <c r="B440" s="1" t="n">
        <v>45460</v>
      </c>
      <c r="C440" s="1" t="n">
        <v>45877</v>
      </c>
      <c r="D440" t="inlineStr">
        <is>
          <t>ÖSTERGÖTLANDS LÄN</t>
        </is>
      </c>
      <c r="E440" t="inlineStr">
        <is>
          <t>BOXHOLM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24510-2024</t>
        </is>
      </c>
      <c r="B441" s="1" t="n">
        <v>45460</v>
      </c>
      <c r="C441" s="1" t="n">
        <v>45877</v>
      </c>
      <c r="D441" t="inlineStr">
        <is>
          <t>ÖSTERGÖTLANDS LÄN</t>
        </is>
      </c>
      <c r="E441" t="inlineStr">
        <is>
          <t>BOXHOLM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25307-2024</t>
        </is>
      </c>
      <c r="B442" s="1" t="n">
        <v>45462</v>
      </c>
      <c r="C442" s="1" t="n">
        <v>45877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25279-2024</t>
        </is>
      </c>
      <c r="B443" s="1" t="n">
        <v>45462</v>
      </c>
      <c r="C443" s="1" t="n">
        <v>45877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25127-2024</t>
        </is>
      </c>
      <c r="B444" s="1" t="n">
        <v>45462</v>
      </c>
      <c r="C444" s="1" t="n">
        <v>45877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25944-2024</t>
        </is>
      </c>
      <c r="B445" s="1" t="n">
        <v>45467</v>
      </c>
      <c r="C445" s="1" t="n">
        <v>45877</v>
      </c>
      <c r="D445" t="inlineStr">
        <is>
          <t>ÖSTERGÖTLANDS LÄN</t>
        </is>
      </c>
      <c r="E445" t="inlineStr">
        <is>
          <t>BOXHOLM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25937-2024</t>
        </is>
      </c>
      <c r="B446" s="1" t="n">
        <v>45467</v>
      </c>
      <c r="C446" s="1" t="n">
        <v>45877</v>
      </c>
      <c r="D446" t="inlineStr">
        <is>
          <t>ÖSTERGÖTLANDS LÄN</t>
        </is>
      </c>
      <c r="E446" t="inlineStr">
        <is>
          <t>BOXHOLM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26203-2024</t>
        </is>
      </c>
      <c r="B447" s="1" t="n">
        <v>45468</v>
      </c>
      <c r="C447" s="1" t="n">
        <v>45877</v>
      </c>
      <c r="D447" t="inlineStr">
        <is>
          <t>ÖSTERGÖTLANDS LÄN</t>
        </is>
      </c>
      <c r="E447" t="inlineStr">
        <is>
          <t>BOXHOLM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26327-2024</t>
        </is>
      </c>
      <c r="B448" s="1" t="n">
        <v>45469</v>
      </c>
      <c r="C448" s="1" t="n">
        <v>45877</v>
      </c>
      <c r="D448" t="inlineStr">
        <is>
          <t>ÖSTERGÖTLANDS LÄN</t>
        </is>
      </c>
      <c r="E448" t="inlineStr">
        <is>
          <t>BOXHOLM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26304-2024</t>
        </is>
      </c>
      <c r="B449" s="1" t="n">
        <v>45469</v>
      </c>
      <c r="C449" s="1" t="n">
        <v>45877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30210-2024</t>
        </is>
      </c>
      <c r="B450" s="1" t="n">
        <v>45490</v>
      </c>
      <c r="C450" s="1" t="n">
        <v>45877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31042-2024</t>
        </is>
      </c>
      <c r="B451" s="1" t="n">
        <v>45502</v>
      </c>
      <c r="C451" s="1" t="n">
        <v>45877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32089-2024</t>
        </is>
      </c>
      <c r="B452" s="1" t="n">
        <v>45511</v>
      </c>
      <c r="C452" s="1" t="n">
        <v>45877</v>
      </c>
      <c r="D452" t="inlineStr">
        <is>
          <t>ÖSTERGÖTLANDS LÄN</t>
        </is>
      </c>
      <c r="E452" t="inlineStr">
        <is>
          <t>BOXHOLM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34048-2024</t>
        </is>
      </c>
      <c r="B453" s="1" t="n">
        <v>45523</v>
      </c>
      <c r="C453" s="1" t="n">
        <v>45877</v>
      </c>
      <c r="D453" t="inlineStr">
        <is>
          <t>ÖSTERGÖTLANDS LÄN</t>
        </is>
      </c>
      <c r="E453" t="inlineStr">
        <is>
          <t>BOXHOLM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34322-2024</t>
        </is>
      </c>
      <c r="B454" s="1" t="n">
        <v>45524</v>
      </c>
      <c r="C454" s="1" t="n">
        <v>45877</v>
      </c>
      <c r="D454" t="inlineStr">
        <is>
          <t>ÖSTERGÖTLANDS LÄN</t>
        </is>
      </c>
      <c r="E454" t="inlineStr">
        <is>
          <t>BOXHOLM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34442-2024</t>
        </is>
      </c>
      <c r="B455" s="1" t="n">
        <v>45525</v>
      </c>
      <c r="C455" s="1" t="n">
        <v>45877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35655-2024</t>
        </is>
      </c>
      <c r="B456" s="1" t="n">
        <v>45532</v>
      </c>
      <c r="C456" s="1" t="n">
        <v>45877</v>
      </c>
      <c r="D456" t="inlineStr">
        <is>
          <t>ÖSTERGÖTLANDS LÄN</t>
        </is>
      </c>
      <c r="E456" t="inlineStr">
        <is>
          <t>BOXHOLM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36453-2024</t>
        </is>
      </c>
      <c r="B457" s="1" t="n">
        <v>45537</v>
      </c>
      <c r="C457" s="1" t="n">
        <v>45877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Övriga Aktiebolag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37532-2024</t>
        </is>
      </c>
      <c r="B458" s="1" t="n">
        <v>45541</v>
      </c>
      <c r="C458" s="1" t="n">
        <v>45877</v>
      </c>
      <c r="D458" t="inlineStr">
        <is>
          <t>ÖSTERGÖTLANDS LÄN</t>
        </is>
      </c>
      <c r="E458" t="inlineStr">
        <is>
          <t>BOXHOLM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39486-2024</t>
        </is>
      </c>
      <c r="B459" s="1" t="n">
        <v>45551</v>
      </c>
      <c r="C459" s="1" t="n">
        <v>45877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39693-2024</t>
        </is>
      </c>
      <c r="B460" s="1" t="n">
        <v>45552</v>
      </c>
      <c r="C460" s="1" t="n">
        <v>45877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40292-2024</t>
        </is>
      </c>
      <c r="B461" s="1" t="n">
        <v>45554</v>
      </c>
      <c r="C461" s="1" t="n">
        <v>45877</v>
      </c>
      <c r="D461" t="inlineStr">
        <is>
          <t>ÖSTERGÖTLANDS LÄN</t>
        </is>
      </c>
      <c r="E461" t="inlineStr">
        <is>
          <t>BOXHOLM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40290-2024</t>
        </is>
      </c>
      <c r="B462" s="1" t="n">
        <v>45554</v>
      </c>
      <c r="C462" s="1" t="n">
        <v>45877</v>
      </c>
      <c r="D462" t="inlineStr">
        <is>
          <t>ÖSTERGÖTLANDS LÄN</t>
        </is>
      </c>
      <c r="E462" t="inlineStr">
        <is>
          <t>BOXHOLM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40294-2024</t>
        </is>
      </c>
      <c r="B463" s="1" t="n">
        <v>45554</v>
      </c>
      <c r="C463" s="1" t="n">
        <v>45877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41080-2024</t>
        </is>
      </c>
      <c r="B464" s="1" t="n">
        <v>45559</v>
      </c>
      <c r="C464" s="1" t="n">
        <v>45877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41348-2024</t>
        </is>
      </c>
      <c r="B465" s="1" t="n">
        <v>45559</v>
      </c>
      <c r="C465" s="1" t="n">
        <v>45877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41643-2024</t>
        </is>
      </c>
      <c r="B466" s="1" t="n">
        <v>45560</v>
      </c>
      <c r="C466" s="1" t="n">
        <v>45877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41973-2024</t>
        </is>
      </c>
      <c r="B467" s="1" t="n">
        <v>45561</v>
      </c>
      <c r="C467" s="1" t="n">
        <v>45877</v>
      </c>
      <c r="D467" t="inlineStr">
        <is>
          <t>ÖSTERGÖTLANDS LÄN</t>
        </is>
      </c>
      <c r="E467" t="inlineStr">
        <is>
          <t>BOXHOLM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43464-2024</t>
        </is>
      </c>
      <c r="B468" s="1" t="n">
        <v>45568</v>
      </c>
      <c r="C468" s="1" t="n">
        <v>45877</v>
      </c>
      <c r="D468" t="inlineStr">
        <is>
          <t>ÖSTERGÖTLANDS LÄN</t>
        </is>
      </c>
      <c r="E468" t="inlineStr">
        <is>
          <t>BOXHOLM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43767-2024</t>
        </is>
      </c>
      <c r="B469" s="1" t="n">
        <v>45569</v>
      </c>
      <c r="C469" s="1" t="n">
        <v>45877</v>
      </c>
      <c r="D469" t="inlineStr">
        <is>
          <t>ÖSTERGÖTLANDS LÄN</t>
        </is>
      </c>
      <c r="E469" t="inlineStr">
        <is>
          <t>BOXHOLM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43936-2024</t>
        </is>
      </c>
      <c r="B470" s="1" t="n">
        <v>45572</v>
      </c>
      <c r="C470" s="1" t="n">
        <v>45877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Allmännings- och besparingsskogar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45137-2024</t>
        </is>
      </c>
      <c r="B471" s="1" t="n">
        <v>45575</v>
      </c>
      <c r="C471" s="1" t="n">
        <v>45877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Allmännings- och besparingsskogar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45154-2024</t>
        </is>
      </c>
      <c r="B472" s="1" t="n">
        <v>45575</v>
      </c>
      <c r="C472" s="1" t="n">
        <v>45877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45159-2024</t>
        </is>
      </c>
      <c r="B473" s="1" t="n">
        <v>45575</v>
      </c>
      <c r="C473" s="1" t="n">
        <v>45877</v>
      </c>
      <c r="D473" t="inlineStr">
        <is>
          <t>ÖSTERGÖTLANDS LÄN</t>
        </is>
      </c>
      <c r="E473" t="inlineStr">
        <is>
          <t>BOXHOLM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45723-2024</t>
        </is>
      </c>
      <c r="B474" s="1" t="n">
        <v>45579</v>
      </c>
      <c r="C474" s="1" t="n">
        <v>45877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Övriga Aktiebolag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45859-2024</t>
        </is>
      </c>
      <c r="B475" s="1" t="n">
        <v>45580</v>
      </c>
      <c r="C475" s="1" t="n">
        <v>45877</v>
      </c>
      <c r="D475" t="inlineStr">
        <is>
          <t>ÖSTERGÖTLANDS LÄN</t>
        </is>
      </c>
      <c r="E475" t="inlineStr">
        <is>
          <t>BOXHOLM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46237-2024</t>
        </is>
      </c>
      <c r="B476" s="1" t="n">
        <v>45581</v>
      </c>
      <c r="C476" s="1" t="n">
        <v>45877</v>
      </c>
      <c r="D476" t="inlineStr">
        <is>
          <t>ÖSTERGÖTLANDS LÄN</t>
        </is>
      </c>
      <c r="E476" t="inlineStr">
        <is>
          <t>BOXHOLM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46607-2024</t>
        </is>
      </c>
      <c r="B477" s="1" t="n">
        <v>45582</v>
      </c>
      <c r="C477" s="1" t="n">
        <v>45877</v>
      </c>
      <c r="D477" t="inlineStr">
        <is>
          <t>ÖSTERGÖTLANDS LÄN</t>
        </is>
      </c>
      <c r="E477" t="inlineStr">
        <is>
          <t>BOXHOLM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46641-2024</t>
        </is>
      </c>
      <c r="B478" s="1" t="n">
        <v>45583</v>
      </c>
      <c r="C478" s="1" t="n">
        <v>45877</v>
      </c>
      <c r="D478" t="inlineStr">
        <is>
          <t>ÖSTERGÖTLANDS LÄN</t>
        </is>
      </c>
      <c r="E478" t="inlineStr">
        <is>
          <t>BOXHOLM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47333-2024</t>
        </is>
      </c>
      <c r="B479" s="1" t="n">
        <v>45587</v>
      </c>
      <c r="C479" s="1" t="n">
        <v>45877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Allmännings- och besparingsskogar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48475-2024</t>
        </is>
      </c>
      <c r="B480" s="1" t="n">
        <v>45591</v>
      </c>
      <c r="C480" s="1" t="n">
        <v>45877</v>
      </c>
      <c r="D480" t="inlineStr">
        <is>
          <t>ÖSTERGÖTLANDS LÄN</t>
        </is>
      </c>
      <c r="E480" t="inlineStr">
        <is>
          <t>BOXHOLM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48859-2024</t>
        </is>
      </c>
      <c r="B481" s="1" t="n">
        <v>45593</v>
      </c>
      <c r="C481" s="1" t="n">
        <v>45877</v>
      </c>
      <c r="D481" t="inlineStr">
        <is>
          <t>ÖSTERGÖTLANDS LÄN</t>
        </is>
      </c>
      <c r="E481" t="inlineStr">
        <is>
          <t>BOXHOLM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50239-2024</t>
        </is>
      </c>
      <c r="B482" s="1" t="n">
        <v>45600</v>
      </c>
      <c r="C482" s="1" t="n">
        <v>45877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50251-2024</t>
        </is>
      </c>
      <c r="B483" s="1" t="n">
        <v>45600</v>
      </c>
      <c r="C483" s="1" t="n">
        <v>45877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51359-2024</t>
        </is>
      </c>
      <c r="B484" s="1" t="n">
        <v>45604</v>
      </c>
      <c r="C484" s="1" t="n">
        <v>45877</v>
      </c>
      <c r="D484" t="inlineStr">
        <is>
          <t>ÖSTERGÖTLANDS LÄN</t>
        </is>
      </c>
      <c r="E484" t="inlineStr">
        <is>
          <t>BOXHOLM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51366-2024</t>
        </is>
      </c>
      <c r="B485" s="1" t="n">
        <v>45604</v>
      </c>
      <c r="C485" s="1" t="n">
        <v>45877</v>
      </c>
      <c r="D485" t="inlineStr">
        <is>
          <t>ÖSTERGÖTLANDS LÄN</t>
        </is>
      </c>
      <c r="E485" t="inlineStr">
        <is>
          <t>BOXHOLM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51391-2024</t>
        </is>
      </c>
      <c r="B486" s="1" t="n">
        <v>45604</v>
      </c>
      <c r="C486" s="1" t="n">
        <v>45877</v>
      </c>
      <c r="D486" t="inlineStr">
        <is>
          <t>ÖSTERGÖTLANDS LÄN</t>
        </is>
      </c>
      <c r="E486" t="inlineStr">
        <is>
          <t>BOXHOLM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52105-2024</t>
        </is>
      </c>
      <c r="B487" s="1" t="n">
        <v>45608</v>
      </c>
      <c r="C487" s="1" t="n">
        <v>45877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53356-2024</t>
        </is>
      </c>
      <c r="B488" s="1" t="n">
        <v>45614</v>
      </c>
      <c r="C488" s="1" t="n">
        <v>45877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53316-2024</t>
        </is>
      </c>
      <c r="B489" s="1" t="n">
        <v>45614</v>
      </c>
      <c r="C489" s="1" t="n">
        <v>45877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53616-2024</t>
        </is>
      </c>
      <c r="B490" s="1" t="n">
        <v>45614</v>
      </c>
      <c r="C490" s="1" t="n">
        <v>45877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53491-2024</t>
        </is>
      </c>
      <c r="B491" s="1" t="n">
        <v>45614</v>
      </c>
      <c r="C491" s="1" t="n">
        <v>45877</v>
      </c>
      <c r="D491" t="inlineStr">
        <is>
          <t>ÖSTERGÖTLANDS LÄN</t>
        </is>
      </c>
      <c r="E491" t="inlineStr">
        <is>
          <t>BOXHOLM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53342-2024</t>
        </is>
      </c>
      <c r="B492" s="1" t="n">
        <v>45614</v>
      </c>
      <c r="C492" s="1" t="n">
        <v>45877</v>
      </c>
      <c r="D492" t="inlineStr">
        <is>
          <t>ÖSTERGÖTLANDS LÄN</t>
        </is>
      </c>
      <c r="E492" t="inlineStr">
        <is>
          <t>BOXHOLM</t>
        </is>
      </c>
      <c r="F492" t="inlineStr">
        <is>
          <t>Övriga Aktiebolag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58225-2024</t>
        </is>
      </c>
      <c r="B493" s="1" t="n">
        <v>45632</v>
      </c>
      <c r="C493" s="1" t="n">
        <v>45877</v>
      </c>
      <c r="D493" t="inlineStr">
        <is>
          <t>ÖSTERGÖTLANDS LÄN</t>
        </is>
      </c>
      <c r="E493" t="inlineStr">
        <is>
          <t>BOXHOLM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58693-2024</t>
        </is>
      </c>
      <c r="B494" s="1" t="n">
        <v>45635</v>
      </c>
      <c r="C494" s="1" t="n">
        <v>45877</v>
      </c>
      <c r="D494" t="inlineStr">
        <is>
          <t>ÖSTERGÖTLANDS LÄN</t>
        </is>
      </c>
      <c r="E494" t="inlineStr">
        <is>
          <t>BOXHOLM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58988-2024</t>
        </is>
      </c>
      <c r="B495" s="1" t="n">
        <v>45636</v>
      </c>
      <c r="C495" s="1" t="n">
        <v>45877</v>
      </c>
      <c r="D495" t="inlineStr">
        <is>
          <t>ÖSTERGÖTLANDS LÄN</t>
        </is>
      </c>
      <c r="E495" t="inlineStr">
        <is>
          <t>BOXHOLM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60508-2024</t>
        </is>
      </c>
      <c r="B496" s="1" t="n">
        <v>45643</v>
      </c>
      <c r="C496" s="1" t="n">
        <v>45877</v>
      </c>
      <c r="D496" t="inlineStr">
        <is>
          <t>ÖSTERGÖTLANDS LÄN</t>
        </is>
      </c>
      <c r="E496" t="inlineStr">
        <is>
          <t>BOXHOLM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60507-2024</t>
        </is>
      </c>
      <c r="B497" s="1" t="n">
        <v>45643</v>
      </c>
      <c r="C497" s="1" t="n">
        <v>45877</v>
      </c>
      <c r="D497" t="inlineStr">
        <is>
          <t>ÖSTERGÖTLANDS LÄN</t>
        </is>
      </c>
      <c r="E497" t="inlineStr">
        <is>
          <t>BOXHOLM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61486-2024</t>
        </is>
      </c>
      <c r="B498" s="1" t="n">
        <v>45646</v>
      </c>
      <c r="C498" s="1" t="n">
        <v>45877</v>
      </c>
      <c r="D498" t="inlineStr">
        <is>
          <t>ÖSTERGÖTLANDS LÄN</t>
        </is>
      </c>
      <c r="E498" t="inlineStr">
        <is>
          <t>BOXHOLM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61494-2024</t>
        </is>
      </c>
      <c r="B499" s="1" t="n">
        <v>45646</v>
      </c>
      <c r="C499" s="1" t="n">
        <v>45877</v>
      </c>
      <c r="D499" t="inlineStr">
        <is>
          <t>ÖSTERGÖTLANDS LÄN</t>
        </is>
      </c>
      <c r="E499" t="inlineStr">
        <is>
          <t>BOXHOLM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61403-2024</t>
        </is>
      </c>
      <c r="B500" s="1" t="n">
        <v>45646</v>
      </c>
      <c r="C500" s="1" t="n">
        <v>45877</v>
      </c>
      <c r="D500" t="inlineStr">
        <is>
          <t>ÖSTERGÖTLANDS LÄN</t>
        </is>
      </c>
      <c r="E500" t="inlineStr">
        <is>
          <t>BOXHOLM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61415-2024</t>
        </is>
      </c>
      <c r="B501" s="1" t="n">
        <v>45646</v>
      </c>
      <c r="C501" s="1" t="n">
        <v>45877</v>
      </c>
      <c r="D501" t="inlineStr">
        <is>
          <t>ÖSTERGÖTLANDS LÄN</t>
        </is>
      </c>
      <c r="E501" t="inlineStr">
        <is>
          <t>BOXHOLM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61428-2024</t>
        </is>
      </c>
      <c r="B502" s="1" t="n">
        <v>45646</v>
      </c>
      <c r="C502" s="1" t="n">
        <v>45877</v>
      </c>
      <c r="D502" t="inlineStr">
        <is>
          <t>ÖSTERGÖTLANDS LÄN</t>
        </is>
      </c>
      <c r="E502" t="inlineStr">
        <is>
          <t>BOXHOLM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1666-2025</t>
        </is>
      </c>
      <c r="B503" s="1" t="n">
        <v>45670</v>
      </c>
      <c r="C503" s="1" t="n">
        <v>45877</v>
      </c>
      <c r="D503" t="inlineStr">
        <is>
          <t>ÖSTERGÖTLANDS LÄN</t>
        </is>
      </c>
      <c r="E503" t="inlineStr">
        <is>
          <t>BOXHOLM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1539-2025</t>
        </is>
      </c>
      <c r="B504" s="1" t="n">
        <v>45670</v>
      </c>
      <c r="C504" s="1" t="n">
        <v>45877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2273-2025</t>
        </is>
      </c>
      <c r="B505" s="1" t="n">
        <v>45673</v>
      </c>
      <c r="C505" s="1" t="n">
        <v>45877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2277-2025</t>
        </is>
      </c>
      <c r="B506" s="1" t="n">
        <v>45673</v>
      </c>
      <c r="C506" s="1" t="n">
        <v>45877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2505-2025</t>
        </is>
      </c>
      <c r="B507" s="1" t="n">
        <v>45674</v>
      </c>
      <c r="C507" s="1" t="n">
        <v>45877</v>
      </c>
      <c r="D507" t="inlineStr">
        <is>
          <t>ÖSTERGÖTLANDS LÄN</t>
        </is>
      </c>
      <c r="E507" t="inlineStr">
        <is>
          <t>BOXHOLM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2503-2025</t>
        </is>
      </c>
      <c r="B508" s="1" t="n">
        <v>45674</v>
      </c>
      <c r="C508" s="1" t="n">
        <v>45877</v>
      </c>
      <c r="D508" t="inlineStr">
        <is>
          <t>ÖSTERGÖTLANDS LÄN</t>
        </is>
      </c>
      <c r="E508" t="inlineStr">
        <is>
          <t>BOXHOLM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3129-2025</t>
        </is>
      </c>
      <c r="B509" s="1" t="n">
        <v>45678</v>
      </c>
      <c r="C509" s="1" t="n">
        <v>45877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Allmännings- och besparingsskogar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3348-2025</t>
        </is>
      </c>
      <c r="B510" s="1" t="n">
        <v>45679</v>
      </c>
      <c r="C510" s="1" t="n">
        <v>45877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3814-2025</t>
        </is>
      </c>
      <c r="B511" s="1" t="n">
        <v>45681</v>
      </c>
      <c r="C511" s="1" t="n">
        <v>45877</v>
      </c>
      <c r="D511" t="inlineStr">
        <is>
          <t>ÖSTERGÖTLANDS LÄN</t>
        </is>
      </c>
      <c r="E511" t="inlineStr">
        <is>
          <t>BOXHOLM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3855-2025</t>
        </is>
      </c>
      <c r="B512" s="1" t="n">
        <v>45684</v>
      </c>
      <c r="C512" s="1" t="n">
        <v>45877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4649-2025</t>
        </is>
      </c>
      <c r="B513" s="1" t="n">
        <v>45687</v>
      </c>
      <c r="C513" s="1" t="n">
        <v>45877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5323-2025</t>
        </is>
      </c>
      <c r="B514" s="1" t="n">
        <v>45692</v>
      </c>
      <c r="C514" s="1" t="n">
        <v>45877</v>
      </c>
      <c r="D514" t="inlineStr">
        <is>
          <t>ÖSTERGÖTLANDS LÄN</t>
        </is>
      </c>
      <c r="E514" t="inlineStr">
        <is>
          <t>BOXHOLM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5322-2025</t>
        </is>
      </c>
      <c r="B515" s="1" t="n">
        <v>45692</v>
      </c>
      <c r="C515" s="1" t="n">
        <v>45877</v>
      </c>
      <c r="D515" t="inlineStr">
        <is>
          <t>ÖSTERGÖTLANDS LÄN</t>
        </is>
      </c>
      <c r="E515" t="inlineStr">
        <is>
          <t>BOXHOLM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6094-2025</t>
        </is>
      </c>
      <c r="B516" s="1" t="n">
        <v>45697</v>
      </c>
      <c r="C516" s="1" t="n">
        <v>45877</v>
      </c>
      <c r="D516" t="inlineStr">
        <is>
          <t>ÖSTERGÖTLANDS LÄN</t>
        </is>
      </c>
      <c r="E516" t="inlineStr">
        <is>
          <t>BOXHOLM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6249-2025</t>
        </is>
      </c>
      <c r="B517" s="1" t="n">
        <v>45698</v>
      </c>
      <c r="C517" s="1" t="n">
        <v>45877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6239-2025</t>
        </is>
      </c>
      <c r="B518" s="1" t="n">
        <v>45698</v>
      </c>
      <c r="C518" s="1" t="n">
        <v>45877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7290-2025</t>
        </is>
      </c>
      <c r="B519" s="1" t="n">
        <v>45702</v>
      </c>
      <c r="C519" s="1" t="n">
        <v>45877</v>
      </c>
      <c r="D519" t="inlineStr">
        <is>
          <t>ÖSTERGÖTLANDS LÄN</t>
        </is>
      </c>
      <c r="E519" t="inlineStr">
        <is>
          <t>BOXHOLM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8081-2025</t>
        </is>
      </c>
      <c r="B520" s="1" t="n">
        <v>45707</v>
      </c>
      <c r="C520" s="1" t="n">
        <v>45877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Allmännings- och besparingsskogar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8079-2025</t>
        </is>
      </c>
      <c r="B521" s="1" t="n">
        <v>45707</v>
      </c>
      <c r="C521" s="1" t="n">
        <v>45877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8180-2025</t>
        </is>
      </c>
      <c r="B522" s="1" t="n">
        <v>45708</v>
      </c>
      <c r="C522" s="1" t="n">
        <v>45877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8175-2025</t>
        </is>
      </c>
      <c r="B523" s="1" t="n">
        <v>45708</v>
      </c>
      <c r="C523" s="1" t="n">
        <v>45877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8378-2025</t>
        </is>
      </c>
      <c r="B524" s="1" t="n">
        <v>45709</v>
      </c>
      <c r="C524" s="1" t="n">
        <v>45877</v>
      </c>
      <c r="D524" t="inlineStr">
        <is>
          <t>ÖSTERGÖTLANDS LÄN</t>
        </is>
      </c>
      <c r="E524" t="inlineStr">
        <is>
          <t>BOXHOLM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8682-2025</t>
        </is>
      </c>
      <c r="B525" s="1" t="n">
        <v>45712</v>
      </c>
      <c r="C525" s="1" t="n">
        <v>45877</v>
      </c>
      <c r="D525" t="inlineStr">
        <is>
          <t>ÖSTERGÖTLANDS LÄN</t>
        </is>
      </c>
      <c r="E525" t="inlineStr">
        <is>
          <t>BOXHOLM</t>
        </is>
      </c>
      <c r="F525" t="inlineStr">
        <is>
          <t>Övriga Aktiebolag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8843-2025</t>
        </is>
      </c>
      <c r="B526" s="1" t="n">
        <v>45713</v>
      </c>
      <c r="C526" s="1" t="n">
        <v>45877</v>
      </c>
      <c r="D526" t="inlineStr">
        <is>
          <t>ÖSTERGÖTLANDS LÄN</t>
        </is>
      </c>
      <c r="E526" t="inlineStr">
        <is>
          <t>BOXHOLM</t>
        </is>
      </c>
      <c r="F526" t="inlineStr">
        <is>
          <t>Övriga Aktiebolag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8926-2025</t>
        </is>
      </c>
      <c r="B527" s="1" t="n">
        <v>45713</v>
      </c>
      <c r="C527" s="1" t="n">
        <v>45877</v>
      </c>
      <c r="D527" t="inlineStr">
        <is>
          <t>ÖSTERGÖTLANDS LÄN</t>
        </is>
      </c>
      <c r="E527" t="inlineStr">
        <is>
          <t>BOXHOLM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9361-2025</t>
        </is>
      </c>
      <c r="B528" s="1" t="n">
        <v>45715</v>
      </c>
      <c r="C528" s="1" t="n">
        <v>45877</v>
      </c>
      <c r="D528" t="inlineStr">
        <is>
          <t>ÖSTERGÖTLANDS LÄN</t>
        </is>
      </c>
      <c r="E528" t="inlineStr">
        <is>
          <t>BOXHOLM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9900-2025</t>
        </is>
      </c>
      <c r="B529" s="1" t="n">
        <v>45716</v>
      </c>
      <c r="C529" s="1" t="n">
        <v>45877</v>
      </c>
      <c r="D529" t="inlineStr">
        <is>
          <t>ÖSTERGÖTLANDS LÄN</t>
        </is>
      </c>
      <c r="E529" t="inlineStr">
        <is>
          <t>BOXHOLM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10219-2025</t>
        </is>
      </c>
      <c r="B530" s="1" t="n">
        <v>45720</v>
      </c>
      <c r="C530" s="1" t="n">
        <v>45877</v>
      </c>
      <c r="D530" t="inlineStr">
        <is>
          <t>ÖSTERGÖTLANDS LÄN</t>
        </is>
      </c>
      <c r="E530" t="inlineStr">
        <is>
          <t>BOXHOLM</t>
        </is>
      </c>
      <c r="F530" t="inlineStr">
        <is>
          <t>Övriga Aktiebolag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10217-2025</t>
        </is>
      </c>
      <c r="B531" s="1" t="n">
        <v>45720</v>
      </c>
      <c r="C531" s="1" t="n">
        <v>45877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Övriga Aktiebolag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10315-2025</t>
        </is>
      </c>
      <c r="B532" s="1" t="n">
        <v>45720</v>
      </c>
      <c r="C532" s="1" t="n">
        <v>45877</v>
      </c>
      <c r="D532" t="inlineStr">
        <is>
          <t>ÖSTERGÖTLANDS LÄN</t>
        </is>
      </c>
      <c r="E532" t="inlineStr">
        <is>
          <t>BOXHOLM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10317-2025</t>
        </is>
      </c>
      <c r="B533" s="1" t="n">
        <v>45720</v>
      </c>
      <c r="C533" s="1" t="n">
        <v>45877</v>
      </c>
      <c r="D533" t="inlineStr">
        <is>
          <t>ÖSTERGÖTLANDS LÄN</t>
        </is>
      </c>
      <c r="E533" t="inlineStr">
        <is>
          <t>BOXHOLM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12203-2025</t>
        </is>
      </c>
      <c r="B534" s="1" t="n">
        <v>45729</v>
      </c>
      <c r="C534" s="1" t="n">
        <v>45877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Allmännings- och besparingsskogar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12734-2025</t>
        </is>
      </c>
      <c r="B535" s="1" t="n">
        <v>45733</v>
      </c>
      <c r="C535" s="1" t="n">
        <v>45877</v>
      </c>
      <c r="D535" t="inlineStr">
        <is>
          <t>ÖSTERGÖTLANDS LÄN</t>
        </is>
      </c>
      <c r="E535" t="inlineStr">
        <is>
          <t>BOXHOLM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13619-2025</t>
        </is>
      </c>
      <c r="B536" s="1" t="n">
        <v>45736</v>
      </c>
      <c r="C536" s="1" t="n">
        <v>45877</v>
      </c>
      <c r="D536" t="inlineStr">
        <is>
          <t>ÖSTERGÖTLANDS LÄN</t>
        </is>
      </c>
      <c r="E536" t="inlineStr">
        <is>
          <t>BOXHOLM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14148-2025</t>
        </is>
      </c>
      <c r="B537" s="1" t="n">
        <v>45740</v>
      </c>
      <c r="C537" s="1" t="n">
        <v>45877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15163-2025</t>
        </is>
      </c>
      <c r="B538" s="1" t="n">
        <v>45744</v>
      </c>
      <c r="C538" s="1" t="n">
        <v>45877</v>
      </c>
      <c r="D538" t="inlineStr">
        <is>
          <t>ÖSTERGÖTLANDS LÄN</t>
        </is>
      </c>
      <c r="E538" t="inlineStr">
        <is>
          <t>BOXHOLM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15500-2025</t>
        </is>
      </c>
      <c r="B539" s="1" t="n">
        <v>45747</v>
      </c>
      <c r="C539" s="1" t="n">
        <v>45877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15537-2025</t>
        </is>
      </c>
      <c r="B540" s="1" t="n">
        <v>45747</v>
      </c>
      <c r="C540" s="1" t="n">
        <v>45877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15386-2025</t>
        </is>
      </c>
      <c r="B541" s="1" t="n">
        <v>45747</v>
      </c>
      <c r="C541" s="1" t="n">
        <v>45877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15516-2025</t>
        </is>
      </c>
      <c r="B542" s="1" t="n">
        <v>45747</v>
      </c>
      <c r="C542" s="1" t="n">
        <v>45877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15523-2025</t>
        </is>
      </c>
      <c r="B543" s="1" t="n">
        <v>45747</v>
      </c>
      <c r="C543" s="1" t="n">
        <v>45877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15515-2025</t>
        </is>
      </c>
      <c r="B544" s="1" t="n">
        <v>45747</v>
      </c>
      <c r="C544" s="1" t="n">
        <v>45877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15420-2025</t>
        </is>
      </c>
      <c r="B545" s="1" t="n">
        <v>45747</v>
      </c>
      <c r="C545" s="1" t="n">
        <v>45877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16286-2025</t>
        </is>
      </c>
      <c r="B546" s="1" t="n">
        <v>45751</v>
      </c>
      <c r="C546" s="1" t="n">
        <v>45877</v>
      </c>
      <c r="D546" t="inlineStr">
        <is>
          <t>ÖSTERGÖTLANDS LÄN</t>
        </is>
      </c>
      <c r="E546" t="inlineStr">
        <is>
          <t>BOXHOLM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17872-2025</t>
        </is>
      </c>
      <c r="B547" s="1" t="n">
        <v>45758</v>
      </c>
      <c r="C547" s="1" t="n">
        <v>45877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17728-2025</t>
        </is>
      </c>
      <c r="B548" s="1" t="n">
        <v>45758</v>
      </c>
      <c r="C548" s="1" t="n">
        <v>45877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17679-2025</t>
        </is>
      </c>
      <c r="B549" s="1" t="n">
        <v>45758</v>
      </c>
      <c r="C549" s="1" t="n">
        <v>45877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19365-2025</t>
        </is>
      </c>
      <c r="B550" s="1" t="n">
        <v>45769</v>
      </c>
      <c r="C550" s="1" t="n">
        <v>45877</v>
      </c>
      <c r="D550" t="inlineStr">
        <is>
          <t>ÖSTERGÖTLANDS LÄN</t>
        </is>
      </c>
      <c r="E550" t="inlineStr">
        <is>
          <t>BOXHOLM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19129-2025</t>
        </is>
      </c>
      <c r="B551" s="1" t="n">
        <v>45769</v>
      </c>
      <c r="C551" s="1" t="n">
        <v>45877</v>
      </c>
      <c r="D551" t="inlineStr">
        <is>
          <t>ÖSTERGÖTLANDS LÄN</t>
        </is>
      </c>
      <c r="E551" t="inlineStr">
        <is>
          <t>BOXHOLM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21426-2025</t>
        </is>
      </c>
      <c r="B552" s="1" t="n">
        <v>45782</v>
      </c>
      <c r="C552" s="1" t="n">
        <v>45877</v>
      </c>
      <c r="D552" t="inlineStr">
        <is>
          <t>ÖSTERGÖTLANDS LÄN</t>
        </is>
      </c>
      <c r="E552" t="inlineStr">
        <is>
          <t>BOXHOLM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21385-2025</t>
        </is>
      </c>
      <c r="B553" s="1" t="n">
        <v>45782</v>
      </c>
      <c r="C553" s="1" t="n">
        <v>45877</v>
      </c>
      <c r="D553" t="inlineStr">
        <is>
          <t>ÖSTERGÖTLANDS LÄN</t>
        </is>
      </c>
      <c r="E553" t="inlineStr">
        <is>
          <t>BOXHOLM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21436-2025</t>
        </is>
      </c>
      <c r="B554" s="1" t="n">
        <v>45782</v>
      </c>
      <c r="C554" s="1" t="n">
        <v>45877</v>
      </c>
      <c r="D554" t="inlineStr">
        <is>
          <t>ÖSTERGÖTLANDS LÄN</t>
        </is>
      </c>
      <c r="E554" t="inlineStr">
        <is>
          <t>BOXHOLM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21422-2025</t>
        </is>
      </c>
      <c r="B555" s="1" t="n">
        <v>45782</v>
      </c>
      <c r="C555" s="1" t="n">
        <v>45877</v>
      </c>
      <c r="D555" t="inlineStr">
        <is>
          <t>ÖSTERGÖTLANDS LÄN</t>
        </is>
      </c>
      <c r="E555" t="inlineStr">
        <is>
          <t>BOXHOLM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21433-2025</t>
        </is>
      </c>
      <c r="B556" s="1" t="n">
        <v>45782</v>
      </c>
      <c r="C556" s="1" t="n">
        <v>45877</v>
      </c>
      <c r="D556" t="inlineStr">
        <is>
          <t>ÖSTERGÖTLANDS LÄN</t>
        </is>
      </c>
      <c r="E556" t="inlineStr">
        <is>
          <t>BOXHOLM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24059-2025</t>
        </is>
      </c>
      <c r="B557" s="1" t="n">
        <v>45796</v>
      </c>
      <c r="C557" s="1" t="n">
        <v>45877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Kyrkan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24582-2025</t>
        </is>
      </c>
      <c r="B558" s="1" t="n">
        <v>45797</v>
      </c>
      <c r="C558" s="1" t="n">
        <v>45877</v>
      </c>
      <c r="D558" t="inlineStr">
        <is>
          <t>ÖSTERGÖTLANDS LÄN</t>
        </is>
      </c>
      <c r="E558" t="inlineStr">
        <is>
          <t>BOXHOLM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24325-2025</t>
        </is>
      </c>
      <c r="B559" s="1" t="n">
        <v>45797</v>
      </c>
      <c r="C559" s="1" t="n">
        <v>45877</v>
      </c>
      <c r="D559" t="inlineStr">
        <is>
          <t>ÖSTERGÖTLANDS LÄN</t>
        </is>
      </c>
      <c r="E559" t="inlineStr">
        <is>
          <t>BOXHOLM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24682-2025</t>
        </is>
      </c>
      <c r="B560" s="1" t="n">
        <v>45798</v>
      </c>
      <c r="C560" s="1" t="n">
        <v>45877</v>
      </c>
      <c r="D560" t="inlineStr">
        <is>
          <t>ÖSTERGÖTLANDS LÄN</t>
        </is>
      </c>
      <c r="E560" t="inlineStr">
        <is>
          <t>BOXHOLM</t>
        </is>
      </c>
      <c r="F560" t="inlineStr">
        <is>
          <t>Kyrkan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26643-2025</t>
        </is>
      </c>
      <c r="B561" s="1" t="n">
        <v>45809</v>
      </c>
      <c r="C561" s="1" t="n">
        <v>45877</v>
      </c>
      <c r="D561" t="inlineStr">
        <is>
          <t>ÖSTERGÖTLANDS LÄN</t>
        </is>
      </c>
      <c r="E561" t="inlineStr">
        <is>
          <t>BOXHOLM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26648-2025</t>
        </is>
      </c>
      <c r="B562" s="1" t="n">
        <v>45809</v>
      </c>
      <c r="C562" s="1" t="n">
        <v>45877</v>
      </c>
      <c r="D562" t="inlineStr">
        <is>
          <t>ÖSTERGÖTLANDS LÄN</t>
        </is>
      </c>
      <c r="E562" t="inlineStr">
        <is>
          <t>BOXHOLM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27816-2025</t>
        </is>
      </c>
      <c r="B563" s="1" t="n">
        <v>45817</v>
      </c>
      <c r="C563" s="1" t="n">
        <v>45877</v>
      </c>
      <c r="D563" t="inlineStr">
        <is>
          <t>ÖSTERGÖTLANDS LÄN</t>
        </is>
      </c>
      <c r="E563" t="inlineStr">
        <is>
          <t>BOXHOLM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45877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28629-2025</t>
        </is>
      </c>
      <c r="B565" s="1" t="n">
        <v>45819</v>
      </c>
      <c r="C565" s="1" t="n">
        <v>45877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28597-2025</t>
        </is>
      </c>
      <c r="B566" s="1" t="n">
        <v>45819</v>
      </c>
      <c r="C566" s="1" t="n">
        <v>45877</v>
      </c>
      <c r="D566" t="inlineStr">
        <is>
          <t>ÖSTERGÖTLANDS LÄN</t>
        </is>
      </c>
      <c r="E566" t="inlineStr">
        <is>
          <t>BOXHOLM</t>
        </is>
      </c>
      <c r="F566" t="inlineStr">
        <is>
          <t>Övriga Aktiebolag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29612-2025</t>
        </is>
      </c>
      <c r="B567" s="1" t="n">
        <v>45825</v>
      </c>
      <c r="C567" s="1" t="n">
        <v>45877</v>
      </c>
      <c r="D567" t="inlineStr">
        <is>
          <t>ÖSTERGÖTLANDS LÄN</t>
        </is>
      </c>
      <c r="E567" t="inlineStr">
        <is>
          <t>BOXHOLM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31808-2025</t>
        </is>
      </c>
      <c r="B568" s="1" t="n">
        <v>45834</v>
      </c>
      <c r="C568" s="1" t="n">
        <v>45877</v>
      </c>
      <c r="D568" t="inlineStr">
        <is>
          <t>ÖSTERGÖTLANDS LÄN</t>
        </is>
      </c>
      <c r="E568" t="inlineStr">
        <is>
          <t>BOXHOLM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31930-2025</t>
        </is>
      </c>
      <c r="B569" s="1" t="n">
        <v>45835</v>
      </c>
      <c r="C569" s="1" t="n">
        <v>45877</v>
      </c>
      <c r="D569" t="inlineStr">
        <is>
          <t>ÖSTERGÖTLANDS LÄN</t>
        </is>
      </c>
      <c r="E569" t="inlineStr">
        <is>
          <t>BOXHOLM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35440-2025</t>
        </is>
      </c>
      <c r="B570" s="1" t="n">
        <v>45855</v>
      </c>
      <c r="C570" s="1" t="n">
        <v>45877</v>
      </c>
      <c r="D570" t="inlineStr">
        <is>
          <t>ÖSTERGÖTLANDS LÄN</t>
        </is>
      </c>
      <c r="E570" t="inlineStr">
        <is>
          <t>BOXHOLM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35763-2025</t>
        </is>
      </c>
      <c r="B571" s="1" t="n">
        <v>45860</v>
      </c>
      <c r="C571" s="1" t="n">
        <v>45877</v>
      </c>
      <c r="D571" t="inlineStr">
        <is>
          <t>ÖSTERGÖTLANDS LÄN</t>
        </is>
      </c>
      <c r="E571" t="inlineStr">
        <is>
          <t>BOXHOLM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35765-2025</t>
        </is>
      </c>
      <c r="B572" s="1" t="n">
        <v>45860</v>
      </c>
      <c r="C572" s="1" t="n">
        <v>45877</v>
      </c>
      <c r="D572" t="inlineStr">
        <is>
          <t>ÖSTERGÖTLANDS LÄN</t>
        </is>
      </c>
      <c r="E572" t="inlineStr">
        <is>
          <t>BOXHOLM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35762-2025</t>
        </is>
      </c>
      <c r="B573" s="1" t="n">
        <v>45860</v>
      </c>
      <c r="C573" s="1" t="n">
        <v>45877</v>
      </c>
      <c r="D573" t="inlineStr">
        <is>
          <t>ÖSTERGÖTLANDS LÄN</t>
        </is>
      </c>
      <c r="E573" t="inlineStr">
        <is>
          <t>BOXHOLM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35764-2025</t>
        </is>
      </c>
      <c r="B574" s="1" t="n">
        <v>45860</v>
      </c>
      <c r="C574" s="1" t="n">
        <v>45877</v>
      </c>
      <c r="D574" t="inlineStr">
        <is>
          <t>ÖSTERGÖTLANDS LÄN</t>
        </is>
      </c>
      <c r="E574" t="inlineStr">
        <is>
          <t>BOXHOLM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36166-2025</t>
        </is>
      </c>
      <c r="B575" s="1" t="n">
        <v>45867</v>
      </c>
      <c r="C575" s="1" t="n">
        <v>45877</v>
      </c>
      <c r="D575" t="inlineStr">
        <is>
          <t>ÖSTERGÖTLANDS LÄN</t>
        </is>
      </c>
      <c r="E575" t="inlineStr">
        <is>
          <t>BOXHOLM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36175-2025</t>
        </is>
      </c>
      <c r="B576" s="1" t="n">
        <v>45867</v>
      </c>
      <c r="C576" s="1" t="n">
        <v>45877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36202-2025</t>
        </is>
      </c>
      <c r="B577" s="1" t="n">
        <v>45867</v>
      </c>
      <c r="C577" s="1" t="n">
        <v>45877</v>
      </c>
      <c r="D577" t="inlineStr">
        <is>
          <t>ÖSTERGÖTLANDS LÄN</t>
        </is>
      </c>
      <c r="E577" t="inlineStr">
        <is>
          <t>BOXHOLM</t>
        </is>
      </c>
      <c r="F577" t="inlineStr">
        <is>
          <t>Övriga Aktiebolag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36177-2025</t>
        </is>
      </c>
      <c r="B578" s="1" t="n">
        <v>45867</v>
      </c>
      <c r="C578" s="1" t="n">
        <v>45877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36433-2025</t>
        </is>
      </c>
      <c r="B579" s="1" t="n">
        <v>45869</v>
      </c>
      <c r="C579" s="1" t="n">
        <v>45877</v>
      </c>
      <c r="D579" t="inlineStr">
        <is>
          <t>ÖSTERGÖTLANDS LÄN</t>
        </is>
      </c>
      <c r="E579" t="inlineStr">
        <is>
          <t>BOXHOLM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2025-08-09T01:08:40Z</dcterms:created>
  <dcterms:modified xmlns:dcterms="http://purl.org/dc/terms/" xmlns:xsi="http://www.w3.org/2001/XMLSchema-instance" xsi:type="dcterms:W3CDTF">2025-08-09T01:08:41Z</dcterms:modified>
</cp:coreProperties>
</file>