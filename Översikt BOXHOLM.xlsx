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46039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46039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46039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46039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46039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46039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36575-2025</t>
        </is>
      </c>
      <c r="B8" s="1" t="n">
        <v>45870.40766203704</v>
      </c>
      <c r="C8" s="1" t="n">
        <v>46039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Gammelekslav
Rosa skärelav
Skuggorangelav</t>
        </is>
      </c>
      <c r="S8">
        <f>HYPERLINK("https://klasma.github.io/Logging_0560/artfynd/A 36575-2025 artfynd.xlsx", "A 36575-2025")</f>
        <v/>
      </c>
      <c r="T8">
        <f>HYPERLINK("https://klasma.github.io/Logging_0560/kartor/A 36575-2025 karta.png", "A 36575-2025")</f>
        <v/>
      </c>
      <c r="V8">
        <f>HYPERLINK("https://klasma.github.io/Logging_0560/klagomål/A 36575-2025 FSC-klagomål.docx", "A 36575-2025")</f>
        <v/>
      </c>
      <c r="W8">
        <f>HYPERLINK("https://klasma.github.io/Logging_0560/klagomålsmail/A 36575-2025 FSC-klagomål mail.docx", "A 36575-2025")</f>
        <v/>
      </c>
      <c r="X8">
        <f>HYPERLINK("https://klasma.github.io/Logging_0560/tillsyn/A 36575-2025 tillsynsbegäran.docx", "A 36575-2025")</f>
        <v/>
      </c>
      <c r="Y8">
        <f>HYPERLINK("https://klasma.github.io/Logging_0560/tillsynsmail/A 36575-2025 tillsynsbegäran mail.docx", "A 36575-2025")</f>
        <v/>
      </c>
    </row>
    <row r="9" ht="15" customHeight="1">
      <c r="A9" t="inlineStr">
        <is>
          <t>A 61789-2025</t>
        </is>
      </c>
      <c r="B9" s="1" t="n">
        <v>46002.68706018518</v>
      </c>
      <c r="C9" s="1" t="n">
        <v>46039</v>
      </c>
      <c r="D9" t="inlineStr">
        <is>
          <t>ÖSTERGÖTLANDS LÄN</t>
        </is>
      </c>
      <c r="E9" t="inlineStr">
        <is>
          <t>BOXHOLM</t>
        </is>
      </c>
      <c r="F9" t="inlineStr">
        <is>
          <t>Allmännings- och besparingsskogar</t>
        </is>
      </c>
      <c r="G9" t="n">
        <v>5.7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Gråkråka
Orre</t>
        </is>
      </c>
      <c r="S9">
        <f>HYPERLINK("https://klasma.github.io/Logging_0560/artfynd/A 61789-2025 artfynd.xlsx", "A 61789-2025")</f>
        <v/>
      </c>
      <c r="T9">
        <f>HYPERLINK("https://klasma.github.io/Logging_0560/kartor/A 61789-2025 karta.png", "A 61789-2025")</f>
        <v/>
      </c>
      <c r="V9">
        <f>HYPERLINK("https://klasma.github.io/Logging_0560/klagomål/A 61789-2025 FSC-klagomål.docx", "A 61789-2025")</f>
        <v/>
      </c>
      <c r="W9">
        <f>HYPERLINK("https://klasma.github.io/Logging_0560/klagomålsmail/A 61789-2025 FSC-klagomål mail.docx", "A 61789-2025")</f>
        <v/>
      </c>
      <c r="X9">
        <f>HYPERLINK("https://klasma.github.io/Logging_0560/tillsyn/A 61789-2025 tillsynsbegäran.docx", "A 61789-2025")</f>
        <v/>
      </c>
      <c r="Y9">
        <f>HYPERLINK("https://klasma.github.io/Logging_0560/tillsynsmail/A 61789-2025 tillsynsbegäran mail.docx", "A 61789-2025")</f>
        <v/>
      </c>
      <c r="Z9">
        <f>HYPERLINK("https://klasma.github.io/Logging_0560/fåglar/A 61789-2025 prioriterade fågelarter.docx", "A 61789-2025")</f>
        <v/>
      </c>
    </row>
    <row r="10" ht="15" customHeight="1">
      <c r="A10" t="inlineStr">
        <is>
          <t>A 35665-2024</t>
        </is>
      </c>
      <c r="B10" s="1" t="n">
        <v>45532</v>
      </c>
      <c r="C10" s="1" t="n">
        <v>46039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Hässleklocka
Svart trolldruva
Underviol</t>
        </is>
      </c>
      <c r="S10">
        <f>HYPERLINK("https://klasma.github.io/Logging_0560/artfynd/A 35665-2024 artfynd.xlsx", "A 35665-2024")</f>
        <v/>
      </c>
      <c r="T10">
        <f>HYPERLINK("https://klasma.github.io/Logging_0560/kartor/A 35665-2024 karta.png", "A 35665-2024")</f>
        <v/>
      </c>
      <c r="V10">
        <f>HYPERLINK("https://klasma.github.io/Logging_0560/klagomål/A 35665-2024 FSC-klagomål.docx", "A 35665-2024")</f>
        <v/>
      </c>
      <c r="W10">
        <f>HYPERLINK("https://klasma.github.io/Logging_0560/klagomålsmail/A 35665-2024 FSC-klagomål mail.docx", "A 35665-2024")</f>
        <v/>
      </c>
      <c r="X10">
        <f>HYPERLINK("https://klasma.github.io/Logging_0560/tillsyn/A 35665-2024 tillsynsbegäran.docx", "A 35665-2024")</f>
        <v/>
      </c>
      <c r="Y10">
        <f>HYPERLINK("https://klasma.github.io/Logging_0560/tillsynsmail/A 35665-2024 tillsynsbegäran mail.docx", "A 35665-2024")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46039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590-2026</t>
        </is>
      </c>
      <c r="B12" s="1" t="n">
        <v>46029.49075231481</v>
      </c>
      <c r="C12" s="1" t="n">
        <v>46039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0.6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Rostfläck
Svart trolldruva</t>
        </is>
      </c>
      <c r="S12">
        <f>HYPERLINK("https://klasma.github.io/Logging_0560/artfynd/A 590-2026 artfynd.xlsx", "A 590-2026")</f>
        <v/>
      </c>
      <c r="T12">
        <f>HYPERLINK("https://klasma.github.io/Logging_0560/kartor/A 590-2026 karta.png", "A 590-2026")</f>
        <v/>
      </c>
      <c r="V12">
        <f>HYPERLINK("https://klasma.github.io/Logging_0560/klagomål/A 590-2026 FSC-klagomål.docx", "A 590-2026")</f>
        <v/>
      </c>
      <c r="W12">
        <f>HYPERLINK("https://klasma.github.io/Logging_0560/klagomålsmail/A 590-2026 FSC-klagomål mail.docx", "A 590-2026")</f>
        <v/>
      </c>
      <c r="X12">
        <f>HYPERLINK("https://klasma.github.io/Logging_0560/tillsyn/A 590-2026 tillsynsbegäran.docx", "A 590-2026")</f>
        <v/>
      </c>
      <c r="Y12">
        <f>HYPERLINK("https://klasma.github.io/Logging_0560/tillsynsmail/A 590-2026 tillsynsbegäran mail.docx", "A 590-2026")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46039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40509-2023</t>
        </is>
      </c>
      <c r="B14" s="1" t="n">
        <v>45170</v>
      </c>
      <c r="C14" s="1" t="n">
        <v>46039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Blåsippa</t>
        </is>
      </c>
      <c r="S14">
        <f>HYPERLINK("https://klasma.github.io/Logging_0560/artfynd/A 40509-2023 artfynd.xlsx", "A 40509-2023")</f>
        <v/>
      </c>
      <c r="T14">
        <f>HYPERLINK("https://klasma.github.io/Logging_0560/kartor/A 40509-2023 karta.png", "A 40509-2023")</f>
        <v/>
      </c>
      <c r="V14">
        <f>HYPERLINK("https://klasma.github.io/Logging_0560/klagomål/A 40509-2023 FSC-klagomål.docx", "A 40509-2023")</f>
        <v/>
      </c>
      <c r="W14">
        <f>HYPERLINK("https://klasma.github.io/Logging_0560/klagomålsmail/A 40509-2023 FSC-klagomål mail.docx", "A 40509-2023")</f>
        <v/>
      </c>
      <c r="X14">
        <f>HYPERLINK("https://klasma.github.io/Logging_0560/tillsyn/A 40509-2023 tillsynsbegäran.docx", "A 40509-2023")</f>
        <v/>
      </c>
      <c r="Y14">
        <f>HYPERLINK("https://klasma.github.io/Logging_0560/tillsynsmail/A 40509-2023 tillsynsbegäran mail.docx", "A 40509-2023")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46039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46039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46039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62659-2025</t>
        </is>
      </c>
      <c r="B18" s="1" t="n">
        <v>46008.42572916667</v>
      </c>
      <c r="C18" s="1" t="n">
        <v>46039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HYPERLINK("https://klasma.github.io/Logging_0560/artfynd/A 62659-2025 artfynd.xlsx", "A 62659-2025")</f>
        <v/>
      </c>
      <c r="T18">
        <f>HYPERLINK("https://klasma.github.io/Logging_0560/kartor/A 62659-2025 karta.png", "A 62659-2025")</f>
        <v/>
      </c>
      <c r="V18">
        <f>HYPERLINK("https://klasma.github.io/Logging_0560/klagomål/A 62659-2025 FSC-klagomål.docx", "A 62659-2025")</f>
        <v/>
      </c>
      <c r="W18">
        <f>HYPERLINK("https://klasma.github.io/Logging_0560/klagomålsmail/A 62659-2025 FSC-klagomål mail.docx", "A 62659-2025")</f>
        <v/>
      </c>
      <c r="X18">
        <f>HYPERLINK("https://klasma.github.io/Logging_0560/tillsyn/A 62659-2025 tillsynsbegäran.docx", "A 62659-2025")</f>
        <v/>
      </c>
      <c r="Y18">
        <f>HYPERLINK("https://klasma.github.io/Logging_0560/tillsynsmail/A 62659-2025 tillsynsbegäran mail.docx", "A 62659-2025")</f>
        <v/>
      </c>
    </row>
    <row r="19" ht="15" customHeight="1">
      <c r="A19" t="inlineStr">
        <is>
          <t>A 8171-2025</t>
        </is>
      </c>
      <c r="B19" s="1" t="n">
        <v>45708.3696875</v>
      </c>
      <c r="C19" s="1" t="n">
        <v>46039</v>
      </c>
      <c r="D19" t="inlineStr">
        <is>
          <t>ÖSTERGÖTLANDS LÄN</t>
        </is>
      </c>
      <c r="E19" t="inlineStr">
        <is>
          <t>BOXHOLM</t>
        </is>
      </c>
      <c r="F19" t="inlineStr">
        <is>
          <t>Kyrkan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Skogshare</t>
        </is>
      </c>
      <c r="S19">
        <f>HYPERLINK("https://klasma.github.io/Logging_0560/artfynd/A 8171-2025 artfynd.xlsx", "A 8171-2025")</f>
        <v/>
      </c>
      <c r="T19">
        <f>HYPERLINK("https://klasma.github.io/Logging_0560/kartor/A 8171-2025 karta.png", "A 8171-2025")</f>
        <v/>
      </c>
      <c r="V19">
        <f>HYPERLINK("https://klasma.github.io/Logging_0560/klagomål/A 8171-2025 FSC-klagomål.docx", "A 8171-2025")</f>
        <v/>
      </c>
      <c r="W19">
        <f>HYPERLINK("https://klasma.github.io/Logging_0560/klagomålsmail/A 8171-2025 FSC-klagomål mail.docx", "A 8171-2025")</f>
        <v/>
      </c>
      <c r="X19">
        <f>HYPERLINK("https://klasma.github.io/Logging_0560/tillsyn/A 8171-2025 tillsynsbegäran.docx", "A 8171-2025")</f>
        <v/>
      </c>
      <c r="Y19">
        <f>HYPERLINK("https://klasma.github.io/Logging_0560/tillsynsmail/A 8171-2025 tillsynsbegäran mail.docx", "A 8171-2025")</f>
        <v/>
      </c>
    </row>
    <row r="20" ht="15" customHeight="1">
      <c r="A20" t="inlineStr">
        <is>
          <t>A 10733-2024</t>
        </is>
      </c>
      <c r="B20" s="1" t="n">
        <v>45369.48751157407</v>
      </c>
      <c r="C20" s="1" t="n">
        <v>46039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52847-2024</t>
        </is>
      </c>
      <c r="B21" s="1" t="n">
        <v>45610.60292824074</v>
      </c>
      <c r="C21" s="1" t="n">
        <v>46039</v>
      </c>
      <c r="D21" t="inlineStr">
        <is>
          <t>ÖSTERGÖTLANDS LÄN</t>
        </is>
      </c>
      <c r="E21" t="inlineStr">
        <is>
          <t>BOXHOLM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HYPERLINK("https://klasma.github.io/Logging_0560/artfynd/A 52847-2024 artfynd.xlsx", "A 52847-2024")</f>
        <v/>
      </c>
      <c r="T21">
        <f>HYPERLINK("https://klasma.github.io/Logging_0560/kartor/A 52847-2024 karta.png", "A 52847-2024")</f>
        <v/>
      </c>
      <c r="V21">
        <f>HYPERLINK("https://klasma.github.io/Logging_0560/klagomål/A 52847-2024 FSC-klagomål.docx", "A 52847-2024")</f>
        <v/>
      </c>
      <c r="W21">
        <f>HYPERLINK("https://klasma.github.io/Logging_0560/klagomålsmail/A 52847-2024 FSC-klagomål mail.docx", "A 52847-2024")</f>
        <v/>
      </c>
      <c r="X21">
        <f>HYPERLINK("https://klasma.github.io/Logging_0560/tillsyn/A 52847-2024 tillsynsbegäran.docx", "A 52847-2024")</f>
        <v/>
      </c>
      <c r="Y21">
        <f>HYPERLINK("https://klasma.github.io/Logging_0560/tillsynsmail/A 52847-2024 tillsynsbegäran mail.docx", "A 52847-2024")</f>
        <v/>
      </c>
    </row>
    <row r="22" ht="15" customHeight="1">
      <c r="A22" t="inlineStr">
        <is>
          <t>A 2669-2022</t>
        </is>
      </c>
      <c r="B22" s="1" t="n">
        <v>44580</v>
      </c>
      <c r="C22" s="1" t="n">
        <v>46039</v>
      </c>
      <c r="D22" t="inlineStr">
        <is>
          <t>ÖSTERGÖTLANDS LÄN</t>
        </is>
      </c>
      <c r="E22" t="inlineStr">
        <is>
          <t>BOXHOLM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HYPERLINK("https://klasma.github.io/Logging_0560/artfynd/A 2669-2022 artfynd.xlsx", "A 2669-2022")</f>
        <v/>
      </c>
      <c r="T22">
        <f>HYPERLINK("https://klasma.github.io/Logging_0560/kartor/A 2669-2022 karta.png", "A 2669-2022")</f>
        <v/>
      </c>
      <c r="V22">
        <f>HYPERLINK("https://klasma.github.io/Logging_0560/klagomål/A 2669-2022 FSC-klagomål.docx", "A 2669-2022")</f>
        <v/>
      </c>
      <c r="W22">
        <f>HYPERLINK("https://klasma.github.io/Logging_0560/klagomålsmail/A 2669-2022 FSC-klagomål mail.docx", "A 2669-2022")</f>
        <v/>
      </c>
      <c r="X22">
        <f>HYPERLINK("https://klasma.github.io/Logging_0560/tillsyn/A 2669-2022 tillsynsbegäran.docx", "A 2669-2022")</f>
        <v/>
      </c>
      <c r="Y22">
        <f>HYPERLINK("https://klasma.github.io/Logging_0560/tillsynsmail/A 2669-2022 tillsynsbegäran mail.docx", "A 2669-2022")</f>
        <v/>
      </c>
    </row>
    <row r="23" ht="15" customHeight="1">
      <c r="A23" t="inlineStr">
        <is>
          <t>A 52197-2022</t>
        </is>
      </c>
      <c r="B23" s="1" t="n">
        <v>44873.55592592592</v>
      </c>
      <c r="C23" s="1" t="n">
        <v>46039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63202-2021</t>
        </is>
      </c>
      <c r="B24" s="1" t="n">
        <v>44507</v>
      </c>
      <c r="C24" s="1" t="n">
        <v>46039</v>
      </c>
      <c r="D24" t="inlineStr">
        <is>
          <t>ÖSTERGÖTLANDS LÄN</t>
        </is>
      </c>
      <c r="E24" t="inlineStr">
        <is>
          <t>BOXHOLM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55182-2022</t>
        </is>
      </c>
      <c r="B25" s="1" t="n">
        <v>44886.84512731482</v>
      </c>
      <c r="C25" s="1" t="n">
        <v>46039</v>
      </c>
      <c r="D25" t="inlineStr">
        <is>
          <t>ÖSTERGÖTLANDS LÄN</t>
        </is>
      </c>
      <c r="E25" t="inlineStr">
        <is>
          <t>BOXHOLM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44898-2022</t>
        </is>
      </c>
      <c r="B26" s="1" t="n">
        <v>44841</v>
      </c>
      <c r="C26" s="1" t="n">
        <v>46039</v>
      </c>
      <c r="D26" t="inlineStr">
        <is>
          <t>ÖSTERGÖTLANDS LÄN</t>
        </is>
      </c>
      <c r="E26" t="inlineStr">
        <is>
          <t>BOXHOLM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37578-2022</t>
        </is>
      </c>
      <c r="B27" s="1" t="n">
        <v>44809</v>
      </c>
      <c r="C27" s="1" t="n">
        <v>46039</v>
      </c>
      <c r="D27" t="inlineStr">
        <is>
          <t>ÖSTERGÖTLANDS LÄN</t>
        </is>
      </c>
      <c r="E27" t="inlineStr">
        <is>
          <t>BOXHOLM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16753-2022</t>
        </is>
      </c>
      <c r="B28" s="1" t="n">
        <v>44673.46701388889</v>
      </c>
      <c r="C28" s="1" t="n">
        <v>46039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22043-2022</t>
        </is>
      </c>
      <c r="B29" s="1" t="n">
        <v>44711</v>
      </c>
      <c r="C29" s="1" t="n">
        <v>46039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12976-2021</t>
        </is>
      </c>
      <c r="B30" s="1" t="n">
        <v>44271</v>
      </c>
      <c r="C30" s="1" t="n">
        <v>46039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54708-2021</t>
        </is>
      </c>
      <c r="B31" s="1" t="n">
        <v>44473.70909722222</v>
      </c>
      <c r="C31" s="1" t="n">
        <v>46039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56800-2021</t>
        </is>
      </c>
      <c r="B32" s="1" t="n">
        <v>44481</v>
      </c>
      <c r="C32" s="1" t="n">
        <v>46039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67372-2021</t>
        </is>
      </c>
      <c r="B33" s="1" t="n">
        <v>44523.87792824074</v>
      </c>
      <c r="C33" s="1" t="n">
        <v>46039</v>
      </c>
      <c r="D33" t="inlineStr">
        <is>
          <t>ÖSTERGÖTLANDS LÄN</t>
        </is>
      </c>
      <c r="E33" t="inlineStr">
        <is>
          <t>BOXHOLM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50455-2022</t>
        </is>
      </c>
      <c r="B34" s="1" t="n">
        <v>44866</v>
      </c>
      <c r="C34" s="1" t="n">
        <v>46039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43219-2022</t>
        </is>
      </c>
      <c r="B35" s="1" t="n">
        <v>44834</v>
      </c>
      <c r="C35" s="1" t="n">
        <v>46039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46039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46039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46039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46039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46039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46039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46039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46039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46039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46039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46039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46039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46039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46039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46039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46039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46039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46039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46039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1925-2022</t>
        </is>
      </c>
      <c r="B55" s="1" t="n">
        <v>44575.42550925926</v>
      </c>
      <c r="C55" s="1" t="n">
        <v>46039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46039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67362-2021</t>
        </is>
      </c>
      <c r="B57" s="1" t="n">
        <v>44523</v>
      </c>
      <c r="C57" s="1" t="n">
        <v>46039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46039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46039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46039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46039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46039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10390-2021</t>
        </is>
      </c>
      <c r="B63" s="1" t="n">
        <v>44257</v>
      </c>
      <c r="C63" s="1" t="n">
        <v>46039</v>
      </c>
      <c r="D63" t="inlineStr">
        <is>
          <t>ÖSTERGÖTLANDS LÄN</t>
        </is>
      </c>
      <c r="E63" t="inlineStr">
        <is>
          <t>BOXHOLM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46039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46039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46039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44823-2023</t>
        </is>
      </c>
      <c r="B67" s="1" t="n">
        <v>45190</v>
      </c>
      <c r="C67" s="1" t="n">
        <v>46039</v>
      </c>
      <c r="D67" t="inlineStr">
        <is>
          <t>ÖSTERGÖTLANDS LÄN</t>
        </is>
      </c>
      <c r="E67" t="inlineStr">
        <is>
          <t>BOXHOLM</t>
        </is>
      </c>
      <c r="F67" t="inlineStr">
        <is>
          <t>Allmännings- och besparingsskogar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36202-2025</t>
        </is>
      </c>
      <c r="B68" s="1" t="n">
        <v>45867.44660879629</v>
      </c>
      <c r="C68" s="1" t="n">
        <v>46039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36177-2025</t>
        </is>
      </c>
      <c r="B69" s="1" t="n">
        <v>45867.40793981482</v>
      </c>
      <c r="C69" s="1" t="n">
        <v>46039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36166-2025</t>
        </is>
      </c>
      <c r="B70" s="1" t="n">
        <v>45867</v>
      </c>
      <c r="C70" s="1" t="n">
        <v>46039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36175-2025</t>
        </is>
      </c>
      <c r="B71" s="1" t="n">
        <v>45867</v>
      </c>
      <c r="C71" s="1" t="n">
        <v>46039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36433-2025</t>
        </is>
      </c>
      <c r="B72" s="1" t="n">
        <v>45869.36848379629</v>
      </c>
      <c r="C72" s="1" t="n">
        <v>46039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67371-2021</t>
        </is>
      </c>
      <c r="B73" s="1" t="n">
        <v>44523</v>
      </c>
      <c r="C73" s="1" t="n">
        <v>46039</v>
      </c>
      <c r="D73" t="inlineStr">
        <is>
          <t>ÖSTERGÖTLANDS LÄN</t>
        </is>
      </c>
      <c r="E73" t="inlineStr">
        <is>
          <t>BOXHOLM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2273-2025</t>
        </is>
      </c>
      <c r="B74" s="1" t="n">
        <v>45673</v>
      </c>
      <c r="C74" s="1" t="n">
        <v>46039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48322-2022</t>
        </is>
      </c>
      <c r="B75" s="1" t="n">
        <v>44858.5522337963</v>
      </c>
      <c r="C75" s="1" t="n">
        <v>46039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6894-2021</t>
        </is>
      </c>
      <c r="B76" s="1" t="n">
        <v>44237</v>
      </c>
      <c r="C76" s="1" t="n">
        <v>46039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19365-2025</t>
        </is>
      </c>
      <c r="B77" s="1" t="n">
        <v>45769.63548611111</v>
      </c>
      <c r="C77" s="1" t="n">
        <v>46039</v>
      </c>
      <c r="D77" t="inlineStr">
        <is>
          <t>ÖSTERGÖTLANDS LÄN</t>
        </is>
      </c>
      <c r="E77" t="inlineStr">
        <is>
          <t>BOXHOLM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9361-2025</t>
        </is>
      </c>
      <c r="B78" s="1" t="n">
        <v>45715.30601851852</v>
      </c>
      <c r="C78" s="1" t="n">
        <v>46039</v>
      </c>
      <c r="D78" t="inlineStr">
        <is>
          <t>ÖSTERGÖTLANDS LÄN</t>
        </is>
      </c>
      <c r="E78" t="inlineStr">
        <is>
          <t>BOXHOLM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22856-2023</t>
        </is>
      </c>
      <c r="B79" s="1" t="n">
        <v>45072.47387731481</v>
      </c>
      <c r="C79" s="1" t="n">
        <v>46039</v>
      </c>
      <c r="D79" t="inlineStr">
        <is>
          <t>ÖSTERGÖTLANDS LÄN</t>
        </is>
      </c>
      <c r="E79" t="inlineStr">
        <is>
          <t>BOXHOLM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38247-2025</t>
        </is>
      </c>
      <c r="B80" s="1" t="n">
        <v>45883</v>
      </c>
      <c r="C80" s="1" t="n">
        <v>46039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21634-2023</t>
        </is>
      </c>
      <c r="B81" s="1" t="n">
        <v>45062</v>
      </c>
      <c r="C81" s="1" t="n">
        <v>46039</v>
      </c>
      <c r="D81" t="inlineStr">
        <is>
          <t>ÖSTERGÖTLANDS LÄN</t>
        </is>
      </c>
      <c r="E81" t="inlineStr">
        <is>
          <t>BOXHOLM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35763-2025</t>
        </is>
      </c>
      <c r="B82" s="1" t="n">
        <v>45860.62597222222</v>
      </c>
      <c r="C82" s="1" t="n">
        <v>46039</v>
      </c>
      <c r="D82" t="inlineStr">
        <is>
          <t>ÖSTERGÖTLANDS LÄN</t>
        </is>
      </c>
      <c r="E82" t="inlineStr">
        <is>
          <t>BOXHOLM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25230-2023</t>
        </is>
      </c>
      <c r="B83" s="1" t="n">
        <v>45086.62486111111</v>
      </c>
      <c r="C83" s="1" t="n">
        <v>46039</v>
      </c>
      <c r="D83" t="inlineStr">
        <is>
          <t>ÖSTERGÖTLANDS LÄN</t>
        </is>
      </c>
      <c r="E83" t="inlineStr">
        <is>
          <t>BOXHOLM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37554-2025</t>
        </is>
      </c>
      <c r="B84" s="1" t="n">
        <v>45880.32181712963</v>
      </c>
      <c r="C84" s="1" t="n">
        <v>46039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47145-2022</t>
        </is>
      </c>
      <c r="B85" s="1" t="n">
        <v>44852</v>
      </c>
      <c r="C85" s="1" t="n">
        <v>46039</v>
      </c>
      <c r="D85" t="inlineStr">
        <is>
          <t>ÖSTERGÖTLANDS LÄN</t>
        </is>
      </c>
      <c r="E85" t="inlineStr">
        <is>
          <t>BOXHOLM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72287-2021</t>
        </is>
      </c>
      <c r="B86" s="1" t="n">
        <v>44545.37116898148</v>
      </c>
      <c r="C86" s="1" t="n">
        <v>46039</v>
      </c>
      <c r="D86" t="inlineStr">
        <is>
          <t>ÖSTERGÖTLANDS LÄN</t>
        </is>
      </c>
      <c r="E86" t="inlineStr">
        <is>
          <t>BOXHOLM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35762-2025</t>
        </is>
      </c>
      <c r="B87" s="1" t="n">
        <v>45860.62039351852</v>
      </c>
      <c r="C87" s="1" t="n">
        <v>46039</v>
      </c>
      <c r="D87" t="inlineStr">
        <is>
          <t>ÖSTERGÖTLANDS LÄN</t>
        </is>
      </c>
      <c r="E87" t="inlineStr">
        <is>
          <t>BOXHOLM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35764-2025</t>
        </is>
      </c>
      <c r="B88" s="1" t="n">
        <v>45860.62782407407</v>
      </c>
      <c r="C88" s="1" t="n">
        <v>46039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54934-2022</t>
        </is>
      </c>
      <c r="B89" s="1" t="n">
        <v>44886.44074074074</v>
      </c>
      <c r="C89" s="1" t="n">
        <v>46039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13619-2025</t>
        </is>
      </c>
      <c r="B90" s="1" t="n">
        <v>45736.63283564815</v>
      </c>
      <c r="C90" s="1" t="n">
        <v>46039</v>
      </c>
      <c r="D90" t="inlineStr">
        <is>
          <t>ÖSTERGÖTLANDS LÄN</t>
        </is>
      </c>
      <c r="E90" t="inlineStr">
        <is>
          <t>BOXHOLM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46039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31673-2023</t>
        </is>
      </c>
      <c r="B92" s="1" t="n">
        <v>45117.66069444444</v>
      </c>
      <c r="C92" s="1" t="n">
        <v>46039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15516-2025</t>
        </is>
      </c>
      <c r="B93" s="1" t="n">
        <v>45747.61622685185</v>
      </c>
      <c r="C93" s="1" t="n">
        <v>46039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55254-2022</t>
        </is>
      </c>
      <c r="B94" s="1" t="n">
        <v>44887.31924768518</v>
      </c>
      <c r="C94" s="1" t="n">
        <v>46039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40583-2025</t>
        </is>
      </c>
      <c r="B95" s="1" t="n">
        <v>45896.51782407407</v>
      </c>
      <c r="C95" s="1" t="n">
        <v>46039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40594-2025</t>
        </is>
      </c>
      <c r="B96" s="1" t="n">
        <v>45896.54732638889</v>
      </c>
      <c r="C96" s="1" t="n">
        <v>46039</v>
      </c>
      <c r="D96" t="inlineStr">
        <is>
          <t>ÖSTERGÖTLANDS LÄN</t>
        </is>
      </c>
      <c r="E96" t="inlineStr">
        <is>
          <t>BOXHOLM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15500-2025</t>
        </is>
      </c>
      <c r="B97" s="1" t="n">
        <v>45747.58354166667</v>
      </c>
      <c r="C97" s="1" t="n">
        <v>46039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58472-2021</t>
        </is>
      </c>
      <c r="B98" s="1" t="n">
        <v>44488.59386574074</v>
      </c>
      <c r="C98" s="1" t="n">
        <v>46039</v>
      </c>
      <c r="D98" t="inlineStr">
        <is>
          <t>ÖSTERGÖTLANDS LÄN</t>
        </is>
      </c>
      <c r="E98" t="inlineStr">
        <is>
          <t>BOXHOLM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51558-2023</t>
        </is>
      </c>
      <c r="B99" s="1" t="n">
        <v>45222.43846064815</v>
      </c>
      <c r="C99" s="1" t="n">
        <v>46039</v>
      </c>
      <c r="D99" t="inlineStr">
        <is>
          <t>ÖSTERGÖTLANDS LÄN</t>
        </is>
      </c>
      <c r="E99" t="inlineStr">
        <is>
          <t>BOXHOLM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6209-2024</t>
        </is>
      </c>
      <c r="B100" s="1" t="n">
        <v>45337.60327546296</v>
      </c>
      <c r="C100" s="1" t="n">
        <v>46039</v>
      </c>
      <c r="D100" t="inlineStr">
        <is>
          <t>ÖSTERGÖTLANDS LÄN</t>
        </is>
      </c>
      <c r="E100" t="inlineStr">
        <is>
          <t>BOXHOLM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43471-2022</t>
        </is>
      </c>
      <c r="B101" s="1" t="n">
        <v>44836</v>
      </c>
      <c r="C101" s="1" t="n">
        <v>46039</v>
      </c>
      <c r="D101" t="inlineStr">
        <is>
          <t>ÖSTERGÖTLANDS LÄN</t>
        </is>
      </c>
      <c r="E101" t="inlineStr">
        <is>
          <t>BOXHOLM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59125-2022</t>
        </is>
      </c>
      <c r="B102" s="1" t="n">
        <v>44904</v>
      </c>
      <c r="C102" s="1" t="n">
        <v>46039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26638-2023</t>
        </is>
      </c>
      <c r="B103" s="1" t="n">
        <v>45092</v>
      </c>
      <c r="C103" s="1" t="n">
        <v>46039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57274-2025</t>
        </is>
      </c>
      <c r="B104" s="1" t="n">
        <v>45979.68559027778</v>
      </c>
      <c r="C104" s="1" t="n">
        <v>46039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64007-2025</t>
        </is>
      </c>
      <c r="B105" s="1" t="n">
        <v>46021.41819444444</v>
      </c>
      <c r="C105" s="1" t="n">
        <v>46039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41741-2025</t>
        </is>
      </c>
      <c r="B106" s="1" t="n">
        <v>45902.47564814815</v>
      </c>
      <c r="C106" s="1" t="n">
        <v>46039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64028-2025</t>
        </is>
      </c>
      <c r="B107" s="1" t="n">
        <v>46021.48487268519</v>
      </c>
      <c r="C107" s="1" t="n">
        <v>46039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12203-2025</t>
        </is>
      </c>
      <c r="B108" s="1" t="n">
        <v>45729.49674768518</v>
      </c>
      <c r="C108" s="1" t="n">
        <v>46039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41727-2025</t>
        </is>
      </c>
      <c r="B109" s="1" t="n">
        <v>45902.4568287037</v>
      </c>
      <c r="C109" s="1" t="n">
        <v>46039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57603-2025</t>
        </is>
      </c>
      <c r="B110" s="1" t="n">
        <v>45981.32298611111</v>
      </c>
      <c r="C110" s="1" t="n">
        <v>46039</v>
      </c>
      <c r="D110" t="inlineStr">
        <is>
          <t>ÖSTERGÖTLANDS LÄN</t>
        </is>
      </c>
      <c r="E110" t="inlineStr">
        <is>
          <t>BOXHOLM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19601-2023</t>
        </is>
      </c>
      <c r="B111" s="1" t="n">
        <v>45050.91261574074</v>
      </c>
      <c r="C111" s="1" t="n">
        <v>46039</v>
      </c>
      <c r="D111" t="inlineStr">
        <is>
          <t>ÖSTERGÖTLANDS LÄN</t>
        </is>
      </c>
      <c r="E111" t="inlineStr">
        <is>
          <t>BOXHOLM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57606-2025</t>
        </is>
      </c>
      <c r="B112" s="1" t="n">
        <v>45981.33721064815</v>
      </c>
      <c r="C112" s="1" t="n">
        <v>46039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58453-2025</t>
        </is>
      </c>
      <c r="B113" s="1" t="n">
        <v>45985.62886574074</v>
      </c>
      <c r="C113" s="1" t="n">
        <v>46039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23857-2023</t>
        </is>
      </c>
      <c r="B114" s="1" t="n">
        <v>45078.47771990741</v>
      </c>
      <c r="C114" s="1" t="n">
        <v>46039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74111-2021</t>
        </is>
      </c>
      <c r="B115" s="1" t="n">
        <v>44557</v>
      </c>
      <c r="C115" s="1" t="n">
        <v>46039</v>
      </c>
      <c r="D115" t="inlineStr">
        <is>
          <t>ÖSTERGÖTLANDS LÄN</t>
        </is>
      </c>
      <c r="E115" t="inlineStr">
        <is>
          <t>BOXHOLM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74128-2021</t>
        </is>
      </c>
      <c r="B116" s="1" t="n">
        <v>44557</v>
      </c>
      <c r="C116" s="1" t="n">
        <v>46039</v>
      </c>
      <c r="D116" t="inlineStr">
        <is>
          <t>ÖSTERGÖTLANDS LÄN</t>
        </is>
      </c>
      <c r="E116" t="inlineStr">
        <is>
          <t>BOXHOLM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58738-2025</t>
        </is>
      </c>
      <c r="B117" s="1" t="n">
        <v>45986.63145833334</v>
      </c>
      <c r="C117" s="1" t="n">
        <v>46039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49990-2021</t>
        </is>
      </c>
      <c r="B118" s="1" t="n">
        <v>44456</v>
      </c>
      <c r="C118" s="1" t="n">
        <v>46039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25254-2023</t>
        </is>
      </c>
      <c r="B119" s="1" t="n">
        <v>45086.65193287037</v>
      </c>
      <c r="C119" s="1" t="n">
        <v>46039</v>
      </c>
      <c r="D119" t="inlineStr">
        <is>
          <t>ÖSTERGÖTLANDS LÄN</t>
        </is>
      </c>
      <c r="E119" t="inlineStr">
        <is>
          <t>BOXHOLM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58455-2025</t>
        </is>
      </c>
      <c r="B120" s="1" t="n">
        <v>45985.63326388889</v>
      </c>
      <c r="C120" s="1" t="n">
        <v>46039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42903-2025</t>
        </is>
      </c>
      <c r="B121" s="1" t="n">
        <v>45908.68037037037</v>
      </c>
      <c r="C121" s="1" t="n">
        <v>46039</v>
      </c>
      <c r="D121" t="inlineStr">
        <is>
          <t>ÖSTERGÖTLANDS LÄN</t>
        </is>
      </c>
      <c r="E121" t="inlineStr">
        <is>
          <t>BOXHOLM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58745-2025</t>
        </is>
      </c>
      <c r="B122" s="1" t="n">
        <v>45986.63686342593</v>
      </c>
      <c r="C122" s="1" t="n">
        <v>46039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58760-2025</t>
        </is>
      </c>
      <c r="B123" s="1" t="n">
        <v>45986.65363425926</v>
      </c>
      <c r="C123" s="1" t="n">
        <v>46039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58763-2025</t>
        </is>
      </c>
      <c r="B124" s="1" t="n">
        <v>45986.65777777778</v>
      </c>
      <c r="C124" s="1" t="n">
        <v>46039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65333-2021</t>
        </is>
      </c>
      <c r="B125" s="1" t="n">
        <v>44515</v>
      </c>
      <c r="C125" s="1" t="n">
        <v>46039</v>
      </c>
      <c r="D125" t="inlineStr">
        <is>
          <t>ÖSTERGÖTLANDS LÄN</t>
        </is>
      </c>
      <c r="E125" t="inlineStr">
        <is>
          <t>BOXHOLM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15504-2023</t>
        </is>
      </c>
      <c r="B126" s="1" t="n">
        <v>45020.49516203703</v>
      </c>
      <c r="C126" s="1" t="n">
        <v>46039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53342-2024</t>
        </is>
      </c>
      <c r="B127" s="1" t="n">
        <v>45614.43695601852</v>
      </c>
      <c r="C127" s="1" t="n">
        <v>46039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29396-2023</t>
        </is>
      </c>
      <c r="B128" s="1" t="n">
        <v>45106.43715277778</v>
      </c>
      <c r="C128" s="1" t="n">
        <v>46039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7061-2024</t>
        </is>
      </c>
      <c r="B129" s="1" t="n">
        <v>45343</v>
      </c>
      <c r="C129" s="1" t="n">
        <v>46039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24682-2025</t>
        </is>
      </c>
      <c r="B130" s="1" t="n">
        <v>45798.65913194444</v>
      </c>
      <c r="C130" s="1" t="n">
        <v>46039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Kyrkan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11401-2024</t>
        </is>
      </c>
      <c r="B131" s="1" t="n">
        <v>45372.46034722222</v>
      </c>
      <c r="C131" s="1" t="n">
        <v>46039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17872-2025</t>
        </is>
      </c>
      <c r="B132" s="1" t="n">
        <v>45758.64047453704</v>
      </c>
      <c r="C132" s="1" t="n">
        <v>46039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38107-2021</t>
        </is>
      </c>
      <c r="B133" s="1" t="n">
        <v>44405</v>
      </c>
      <c r="C133" s="1" t="n">
        <v>46039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19561-2024</t>
        </is>
      </c>
      <c r="B134" s="1" t="n">
        <v>45429.84030092593</v>
      </c>
      <c r="C134" s="1" t="n">
        <v>46039</v>
      </c>
      <c r="D134" t="inlineStr">
        <is>
          <t>ÖSTERGÖTLANDS LÄN</t>
        </is>
      </c>
      <c r="E134" t="inlineStr">
        <is>
          <t>BOXHOLM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40290-2024</t>
        </is>
      </c>
      <c r="B135" s="1" t="n">
        <v>45554.68709490741</v>
      </c>
      <c r="C135" s="1" t="n">
        <v>46039</v>
      </c>
      <c r="D135" t="inlineStr">
        <is>
          <t>ÖSTERGÖTLANDS LÄN</t>
        </is>
      </c>
      <c r="E135" t="inlineStr">
        <is>
          <t>BOXHOLM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1090-2026</t>
        </is>
      </c>
      <c r="B136" s="1" t="n">
        <v>46030.65783564815</v>
      </c>
      <c r="C136" s="1" t="n">
        <v>46039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9115-2023</t>
        </is>
      </c>
      <c r="B137" s="1" t="n">
        <v>44980</v>
      </c>
      <c r="C137" s="1" t="n">
        <v>46039</v>
      </c>
      <c r="D137" t="inlineStr">
        <is>
          <t>ÖSTERGÖTLANDS LÄN</t>
        </is>
      </c>
      <c r="E137" t="inlineStr">
        <is>
          <t>BOXHOLM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47333-2024</t>
        </is>
      </c>
      <c r="B138" s="1" t="n">
        <v>45587.39556712963</v>
      </c>
      <c r="C138" s="1" t="n">
        <v>46039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933-2024</t>
        </is>
      </c>
      <c r="B139" s="1" t="n">
        <v>45301.51200231481</v>
      </c>
      <c r="C139" s="1" t="n">
        <v>46039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51545-2023</t>
        </is>
      </c>
      <c r="B140" s="1" t="n">
        <v>45222.4180787037</v>
      </c>
      <c r="C140" s="1" t="n">
        <v>46039</v>
      </c>
      <c r="D140" t="inlineStr">
        <is>
          <t>ÖSTERGÖTLANDS LÄN</t>
        </is>
      </c>
      <c r="E140" t="inlineStr">
        <is>
          <t>BOXHOLM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60867-2022</t>
        </is>
      </c>
      <c r="B141" s="1" t="n">
        <v>44914</v>
      </c>
      <c r="C141" s="1" t="n">
        <v>46039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59833-2025</t>
        </is>
      </c>
      <c r="B142" s="1" t="n">
        <v>45992.66304398148</v>
      </c>
      <c r="C142" s="1" t="n">
        <v>46039</v>
      </c>
      <c r="D142" t="inlineStr">
        <is>
          <t>ÖSTERGÖTLANDS LÄN</t>
        </is>
      </c>
      <c r="E142" t="inlineStr">
        <is>
          <t>BOXHOLM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43936-2024</t>
        </is>
      </c>
      <c r="B143" s="1" t="n">
        <v>45572.46131944445</v>
      </c>
      <c r="C143" s="1" t="n">
        <v>46039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Allmännings- och besparingsskogar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35345-2023</t>
        </is>
      </c>
      <c r="B144" s="1" t="n">
        <v>45146.48567129629</v>
      </c>
      <c r="C144" s="1" t="n">
        <v>46039</v>
      </c>
      <c r="D144" t="inlineStr">
        <is>
          <t>ÖSTERGÖTLANDS LÄN</t>
        </is>
      </c>
      <c r="E144" t="inlineStr">
        <is>
          <t>BOXHOLM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43578-2025</t>
        </is>
      </c>
      <c r="B145" s="1" t="n">
        <v>45911.64513888889</v>
      </c>
      <c r="C145" s="1" t="n">
        <v>46039</v>
      </c>
      <c r="D145" t="inlineStr">
        <is>
          <t>ÖSTERGÖTLANDS LÄN</t>
        </is>
      </c>
      <c r="E145" t="inlineStr">
        <is>
          <t>BOXHOLM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43765-2025</t>
        </is>
      </c>
      <c r="B146" s="1" t="n">
        <v>45912.49136574074</v>
      </c>
      <c r="C146" s="1" t="n">
        <v>46039</v>
      </c>
      <c r="D146" t="inlineStr">
        <is>
          <t>ÖSTERGÖTLANDS LÄN</t>
        </is>
      </c>
      <c r="E146" t="inlineStr">
        <is>
          <t>BOXHOLM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43763-2025</t>
        </is>
      </c>
      <c r="B147" s="1" t="n">
        <v>45912.48917824074</v>
      </c>
      <c r="C147" s="1" t="n">
        <v>46039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25944-2024</t>
        </is>
      </c>
      <c r="B148" s="1" t="n">
        <v>45467.63711805556</v>
      </c>
      <c r="C148" s="1" t="n">
        <v>46039</v>
      </c>
      <c r="D148" t="inlineStr">
        <is>
          <t>ÖSTERGÖTLANDS LÄN</t>
        </is>
      </c>
      <c r="E148" t="inlineStr">
        <is>
          <t>BOXHOLM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43599-2025</t>
        </is>
      </c>
      <c r="B149" s="1" t="n">
        <v>45911.66439814815</v>
      </c>
      <c r="C149" s="1" t="n">
        <v>46039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44427-2025</t>
        </is>
      </c>
      <c r="B150" s="1" t="n">
        <v>45916.56532407407</v>
      </c>
      <c r="C150" s="1" t="n">
        <v>46039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36453-2024</t>
        </is>
      </c>
      <c r="B151" s="1" t="n">
        <v>45537.33893518519</v>
      </c>
      <c r="C151" s="1" t="n">
        <v>46039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59485-2025</t>
        </is>
      </c>
      <c r="B152" s="1" t="n">
        <v>45989.593125</v>
      </c>
      <c r="C152" s="1" t="n">
        <v>46039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59490-2025</t>
        </is>
      </c>
      <c r="B153" s="1" t="n">
        <v>45989.60222222222</v>
      </c>
      <c r="C153" s="1" t="n">
        <v>46039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1278-2026</t>
        </is>
      </c>
      <c r="B154" s="1" t="n">
        <v>46031.47633101852</v>
      </c>
      <c r="C154" s="1" t="n">
        <v>46039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60790-2023</t>
        </is>
      </c>
      <c r="B155" s="1" t="n">
        <v>45259</v>
      </c>
      <c r="C155" s="1" t="n">
        <v>46039</v>
      </c>
      <c r="D155" t="inlineStr">
        <is>
          <t>ÖSTERGÖTLANDS LÄN</t>
        </is>
      </c>
      <c r="E155" t="inlineStr">
        <is>
          <t>BOXHOLM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37400-2023</t>
        </is>
      </c>
      <c r="B156" s="1" t="n">
        <v>45156</v>
      </c>
      <c r="C156" s="1" t="n">
        <v>46039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8843-2025</t>
        </is>
      </c>
      <c r="B157" s="1" t="n">
        <v>45713.33119212963</v>
      </c>
      <c r="C157" s="1" t="n">
        <v>46039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44758-2025</t>
        </is>
      </c>
      <c r="B158" s="1" t="n">
        <v>45917.7077662037</v>
      </c>
      <c r="C158" s="1" t="n">
        <v>46039</v>
      </c>
      <c r="D158" t="inlineStr">
        <is>
          <t>ÖSTERGÖTLANDS LÄN</t>
        </is>
      </c>
      <c r="E158" t="inlineStr">
        <is>
          <t>BOXHOLM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44803-2025</t>
        </is>
      </c>
      <c r="B159" s="1" t="n">
        <v>45918.3581712963</v>
      </c>
      <c r="C159" s="1" t="n">
        <v>46039</v>
      </c>
      <c r="D159" t="inlineStr">
        <is>
          <t>ÖSTERGÖTLANDS LÄN</t>
        </is>
      </c>
      <c r="E159" t="inlineStr">
        <is>
          <t>BOXHOLM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15498-2023</t>
        </is>
      </c>
      <c r="B160" s="1" t="n">
        <v>45020.4759375</v>
      </c>
      <c r="C160" s="1" t="n">
        <v>46039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15501-2023</t>
        </is>
      </c>
      <c r="B161" s="1" t="n">
        <v>45020.48547453704</v>
      </c>
      <c r="C161" s="1" t="n">
        <v>46039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15505-2023</t>
        </is>
      </c>
      <c r="B162" s="1" t="n">
        <v>45020.49787037037</v>
      </c>
      <c r="C162" s="1" t="n">
        <v>46039</v>
      </c>
      <c r="D162" t="inlineStr">
        <is>
          <t>ÖSTERGÖTLANDS LÄN</t>
        </is>
      </c>
      <c r="E162" t="inlineStr">
        <is>
          <t>BOXHOLM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44658-2025</t>
        </is>
      </c>
      <c r="B163" s="1" t="n">
        <v>45917.55313657408</v>
      </c>
      <c r="C163" s="1" t="n">
        <v>46039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44638-2025</t>
        </is>
      </c>
      <c r="B164" s="1" t="n">
        <v>45917.50763888889</v>
      </c>
      <c r="C164" s="1" t="n">
        <v>46039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44696-2025</t>
        </is>
      </c>
      <c r="B165" s="1" t="n">
        <v>45917.59836805556</v>
      </c>
      <c r="C165" s="1" t="n">
        <v>46039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44706-2025</t>
        </is>
      </c>
      <c r="B166" s="1" t="n">
        <v>45917.6128587963</v>
      </c>
      <c r="C166" s="1" t="n">
        <v>46039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44703-2025</t>
        </is>
      </c>
      <c r="B167" s="1" t="n">
        <v>45917.60946759259</v>
      </c>
      <c r="C167" s="1" t="n">
        <v>46039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2203-2026</t>
        </is>
      </c>
      <c r="B168" s="1" t="n">
        <v>46036.48001157407</v>
      </c>
      <c r="C168" s="1" t="n">
        <v>46039</v>
      </c>
      <c r="D168" t="inlineStr">
        <is>
          <t>ÖSTERGÖTLANDS LÄN</t>
        </is>
      </c>
      <c r="E168" t="inlineStr">
        <is>
          <t>BOXHOLM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45266-2025</t>
        </is>
      </c>
      <c r="B169" s="1" t="n">
        <v>45919.65428240741</v>
      </c>
      <c r="C169" s="1" t="n">
        <v>46039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46209-2025</t>
        </is>
      </c>
      <c r="B170" s="1" t="n">
        <v>45924.70638888889</v>
      </c>
      <c r="C170" s="1" t="n">
        <v>46039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60521-2025</t>
        </is>
      </c>
      <c r="B171" s="1" t="n">
        <v>45995.63800925926</v>
      </c>
      <c r="C171" s="1" t="n">
        <v>46039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46182-2025</t>
        </is>
      </c>
      <c r="B172" s="1" t="n">
        <v>45924.65796296296</v>
      </c>
      <c r="C172" s="1" t="n">
        <v>46039</v>
      </c>
      <c r="D172" t="inlineStr">
        <is>
          <t>ÖSTERGÖTLANDS LÄN</t>
        </is>
      </c>
      <c r="E172" t="inlineStr">
        <is>
          <t>BOXHOLM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46190-2025</t>
        </is>
      </c>
      <c r="B173" s="1" t="n">
        <v>45924.67244212963</v>
      </c>
      <c r="C173" s="1" t="n">
        <v>46039</v>
      </c>
      <c r="D173" t="inlineStr">
        <is>
          <t>ÖSTERGÖTLANDS LÄN</t>
        </is>
      </c>
      <c r="E173" t="inlineStr">
        <is>
          <t>BOXHOLM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36491-2023</t>
        </is>
      </c>
      <c r="B174" s="1" t="n">
        <v>45152.89226851852</v>
      </c>
      <c r="C174" s="1" t="n">
        <v>46039</v>
      </c>
      <c r="D174" t="inlineStr">
        <is>
          <t>ÖSTERGÖTLANDS LÄN</t>
        </is>
      </c>
      <c r="E174" t="inlineStr">
        <is>
          <t>BOXHOLM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46186-2025</t>
        </is>
      </c>
      <c r="B175" s="1" t="n">
        <v>45924.66167824074</v>
      </c>
      <c r="C175" s="1" t="n">
        <v>46039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46200-2025</t>
        </is>
      </c>
      <c r="B176" s="1" t="n">
        <v>45924.69474537037</v>
      </c>
      <c r="C176" s="1" t="n">
        <v>46039</v>
      </c>
      <c r="D176" t="inlineStr">
        <is>
          <t>ÖSTERGÖTLANDS LÄN</t>
        </is>
      </c>
      <c r="E176" t="inlineStr">
        <is>
          <t>BOXHOLM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46179-2025</t>
        </is>
      </c>
      <c r="B177" s="1" t="n">
        <v>45924.65523148148</v>
      </c>
      <c r="C177" s="1" t="n">
        <v>46039</v>
      </c>
      <c r="D177" t="inlineStr">
        <is>
          <t>ÖSTERGÖTLANDS LÄN</t>
        </is>
      </c>
      <c r="E177" t="inlineStr">
        <is>
          <t>BOXHOLM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48475-2024</t>
        </is>
      </c>
      <c r="B178" s="1" t="n">
        <v>45591.58818287037</v>
      </c>
      <c r="C178" s="1" t="n">
        <v>46039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46199-2025</t>
        </is>
      </c>
      <c r="B179" s="1" t="n">
        <v>45924.69034722223</v>
      </c>
      <c r="C179" s="1" t="n">
        <v>46039</v>
      </c>
      <c r="D179" t="inlineStr">
        <is>
          <t>ÖSTERGÖTLANDS LÄN</t>
        </is>
      </c>
      <c r="E179" t="inlineStr">
        <is>
          <t>BOXHOLM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35432-2023</t>
        </is>
      </c>
      <c r="B180" s="1" t="n">
        <v>45146.62869212963</v>
      </c>
      <c r="C180" s="1" t="n">
        <v>46039</v>
      </c>
      <c r="D180" t="inlineStr">
        <is>
          <t>ÖSTERGÖTLANDS LÄN</t>
        </is>
      </c>
      <c r="E180" t="inlineStr">
        <is>
          <t>BOXHOLM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39035-2023</t>
        </is>
      </c>
      <c r="B181" s="1" t="n">
        <v>45163.87773148148</v>
      </c>
      <c r="C181" s="1" t="n">
        <v>46039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Allmännings- och besparingsskogar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60638-2025</t>
        </is>
      </c>
      <c r="B182" s="1" t="n">
        <v>45996.43736111111</v>
      </c>
      <c r="C182" s="1" t="n">
        <v>46039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51359-2024</t>
        </is>
      </c>
      <c r="B183" s="1" t="n">
        <v>45604.36541666667</v>
      </c>
      <c r="C183" s="1" t="n">
        <v>46039</v>
      </c>
      <c r="D183" t="inlineStr">
        <is>
          <t>ÖSTERGÖTLANDS LÄN</t>
        </is>
      </c>
      <c r="E183" t="inlineStr">
        <is>
          <t>BOXHOLM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44709-2025</t>
        </is>
      </c>
      <c r="B184" s="1" t="n">
        <v>45917</v>
      </c>
      <c r="C184" s="1" t="n">
        <v>46039</v>
      </c>
      <c r="D184" t="inlineStr">
        <is>
          <t>ÖSTERGÖTLANDS LÄN</t>
        </is>
      </c>
      <c r="E184" t="inlineStr">
        <is>
          <t>BOXHOLM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46867-2025</t>
        </is>
      </c>
      <c r="B185" s="1" t="n">
        <v>45929</v>
      </c>
      <c r="C185" s="1" t="n">
        <v>46039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46519-2025</t>
        </is>
      </c>
      <c r="B186" s="1" t="n">
        <v>45924</v>
      </c>
      <c r="C186" s="1" t="n">
        <v>46039</v>
      </c>
      <c r="D186" t="inlineStr">
        <is>
          <t>ÖSTERGÖTLANDS LÄN</t>
        </is>
      </c>
      <c r="E186" t="inlineStr">
        <is>
          <t>BOXHOLM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47446-2025</t>
        </is>
      </c>
      <c r="B187" s="1" t="n">
        <v>45930.64416666667</v>
      </c>
      <c r="C187" s="1" t="n">
        <v>46039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23834-2023</t>
        </is>
      </c>
      <c r="B188" s="1" t="n">
        <v>45078.43443287037</v>
      </c>
      <c r="C188" s="1" t="n">
        <v>46039</v>
      </c>
      <c r="D188" t="inlineStr">
        <is>
          <t>ÖSTERGÖTLANDS LÄN</t>
        </is>
      </c>
      <c r="E188" t="inlineStr">
        <is>
          <t>BOXHOLM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48317-2023</t>
        </is>
      </c>
      <c r="B189" s="1" t="n">
        <v>45205</v>
      </c>
      <c r="C189" s="1" t="n">
        <v>46039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10219-2025</t>
        </is>
      </c>
      <c r="B190" s="1" t="n">
        <v>45720.27141203704</v>
      </c>
      <c r="C190" s="1" t="n">
        <v>46039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60210-2023</t>
        </is>
      </c>
      <c r="B191" s="1" t="n">
        <v>45258.60165509259</v>
      </c>
      <c r="C191" s="1" t="n">
        <v>46039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44896-2023</t>
        </is>
      </c>
      <c r="B192" s="1" t="n">
        <v>45190</v>
      </c>
      <c r="C192" s="1" t="n">
        <v>46039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26907-2022</t>
        </is>
      </c>
      <c r="B193" s="1" t="n">
        <v>44740.59423611111</v>
      </c>
      <c r="C193" s="1" t="n">
        <v>46039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49119-2025</t>
        </is>
      </c>
      <c r="B194" s="1" t="n">
        <v>45937.82136574074</v>
      </c>
      <c r="C194" s="1" t="n">
        <v>46039</v>
      </c>
      <c r="D194" t="inlineStr">
        <is>
          <t>ÖSTERGÖTLANDS LÄN</t>
        </is>
      </c>
      <c r="E194" t="inlineStr">
        <is>
          <t>BOXHOLM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36331-2022</t>
        </is>
      </c>
      <c r="B195" s="1" t="n">
        <v>44803.73353009259</v>
      </c>
      <c r="C195" s="1" t="n">
        <v>46039</v>
      </c>
      <c r="D195" t="inlineStr">
        <is>
          <t>ÖSTERGÖTLANDS LÄN</t>
        </is>
      </c>
      <c r="E195" t="inlineStr">
        <is>
          <t>BOXHOLM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49922-2025</t>
        </is>
      </c>
      <c r="B196" s="1" t="n">
        <v>45940.6375</v>
      </c>
      <c r="C196" s="1" t="n">
        <v>46039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50164-2025</t>
        </is>
      </c>
      <c r="B197" s="1" t="n">
        <v>45943.58841435185</v>
      </c>
      <c r="C197" s="1" t="n">
        <v>46039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50190-2025</t>
        </is>
      </c>
      <c r="B198" s="1" t="n">
        <v>45943.6352662037</v>
      </c>
      <c r="C198" s="1" t="n">
        <v>46039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14946-2022</t>
        </is>
      </c>
      <c r="B199" s="1" t="n">
        <v>44657.42840277778</v>
      </c>
      <c r="C199" s="1" t="n">
        <v>46039</v>
      </c>
      <c r="D199" t="inlineStr">
        <is>
          <t>ÖSTERGÖTLANDS LÄN</t>
        </is>
      </c>
      <c r="E199" t="inlineStr">
        <is>
          <t>BOXHOLM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46316-2023</t>
        </is>
      </c>
      <c r="B200" s="1" t="n">
        <v>45197</v>
      </c>
      <c r="C200" s="1" t="n">
        <v>46039</v>
      </c>
      <c r="D200" t="inlineStr">
        <is>
          <t>ÖSTERGÖTLANDS LÄN</t>
        </is>
      </c>
      <c r="E200" t="inlineStr">
        <is>
          <t>BOXHOLM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50095-2025</t>
        </is>
      </c>
      <c r="B201" s="1" t="n">
        <v>45943.49570601852</v>
      </c>
      <c r="C201" s="1" t="n">
        <v>46039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50160-2025</t>
        </is>
      </c>
      <c r="B202" s="1" t="n">
        <v>45943.58487268518</v>
      </c>
      <c r="C202" s="1" t="n">
        <v>46039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50171-2025</t>
        </is>
      </c>
      <c r="B203" s="1" t="n">
        <v>45943.60009259259</v>
      </c>
      <c r="C203" s="1" t="n">
        <v>46039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50156-2025</t>
        </is>
      </c>
      <c r="B204" s="1" t="n">
        <v>45943.58123842593</v>
      </c>
      <c r="C204" s="1" t="n">
        <v>46039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19129-2025</t>
        </is>
      </c>
      <c r="B205" s="1" t="n">
        <v>45769.23976851852</v>
      </c>
      <c r="C205" s="1" t="n">
        <v>46039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50019-2025</t>
        </is>
      </c>
      <c r="B206" s="1" t="n">
        <v>45943.36802083333</v>
      </c>
      <c r="C206" s="1" t="n">
        <v>46039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50026-2025</t>
        </is>
      </c>
      <c r="B207" s="1" t="n">
        <v>45943.37984953704</v>
      </c>
      <c r="C207" s="1" t="n">
        <v>46039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50082-2025</t>
        </is>
      </c>
      <c r="B208" s="1" t="n">
        <v>45943.47072916666</v>
      </c>
      <c r="C208" s="1" t="n">
        <v>46039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50137-2025</t>
        </is>
      </c>
      <c r="B209" s="1" t="n">
        <v>45943.56265046296</v>
      </c>
      <c r="C209" s="1" t="n">
        <v>46039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50141-2025</t>
        </is>
      </c>
      <c r="B210" s="1" t="n">
        <v>45943.56776620371</v>
      </c>
      <c r="C210" s="1" t="n">
        <v>46039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50612-2025</t>
        </is>
      </c>
      <c r="B211" s="1" t="n">
        <v>45945.62560185185</v>
      </c>
      <c r="C211" s="1" t="n">
        <v>46039</v>
      </c>
      <c r="D211" t="inlineStr">
        <is>
          <t>ÖSTERGÖTLANDS LÄN</t>
        </is>
      </c>
      <c r="E211" t="inlineStr">
        <is>
          <t>BOXHOLM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50613-2025</t>
        </is>
      </c>
      <c r="B212" s="1" t="n">
        <v>45945.62715277778</v>
      </c>
      <c r="C212" s="1" t="n">
        <v>46039</v>
      </c>
      <c r="D212" t="inlineStr">
        <is>
          <t>ÖSTERGÖTLANDS LÄN</t>
        </is>
      </c>
      <c r="E212" t="inlineStr">
        <is>
          <t>BOXHOLM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53616-2024</t>
        </is>
      </c>
      <c r="B213" s="1" t="n">
        <v>45614.73055555556</v>
      </c>
      <c r="C213" s="1" t="n">
        <v>46039</v>
      </c>
      <c r="D213" t="inlineStr">
        <is>
          <t>ÖSTERGÖTLANDS LÄN</t>
        </is>
      </c>
      <c r="E213" t="inlineStr">
        <is>
          <t>BOXHOLM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15746-2023</t>
        </is>
      </c>
      <c r="B214" s="1" t="n">
        <v>45021.61027777778</v>
      </c>
      <c r="C214" s="1" t="n">
        <v>46039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51091-2025</t>
        </is>
      </c>
      <c r="B215" s="1" t="n">
        <v>45947.47361111111</v>
      </c>
      <c r="C215" s="1" t="n">
        <v>46039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34839-2023</t>
        </is>
      </c>
      <c r="B216" s="1" t="n">
        <v>45141</v>
      </c>
      <c r="C216" s="1" t="n">
        <v>46039</v>
      </c>
      <c r="D216" t="inlineStr">
        <is>
          <t>ÖSTERGÖTLANDS LÄN</t>
        </is>
      </c>
      <c r="E216" t="inlineStr">
        <is>
          <t>BOXHOLM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40308-2022</t>
        </is>
      </c>
      <c r="B217" s="1" t="n">
        <v>44822</v>
      </c>
      <c r="C217" s="1" t="n">
        <v>46039</v>
      </c>
      <c r="D217" t="inlineStr">
        <is>
          <t>ÖSTERGÖTLANDS LÄN</t>
        </is>
      </c>
      <c r="E217" t="inlineStr">
        <is>
          <t>BOXHOLM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6239-2025</t>
        </is>
      </c>
      <c r="B218" s="1" t="n">
        <v>45698.56226851852</v>
      </c>
      <c r="C218" s="1" t="n">
        <v>46039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37405-2023</t>
        </is>
      </c>
      <c r="B219" s="1" t="n">
        <v>45156</v>
      </c>
      <c r="C219" s="1" t="n">
        <v>46039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52514-2025</t>
        </is>
      </c>
      <c r="B220" s="1" t="n">
        <v>45954.51167824074</v>
      </c>
      <c r="C220" s="1" t="n">
        <v>46039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24859-2022</t>
        </is>
      </c>
      <c r="B221" s="1" t="n">
        <v>44728.4884837963</v>
      </c>
      <c r="C221" s="1" t="n">
        <v>46039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52551-2025</t>
        </is>
      </c>
      <c r="B222" s="1" t="n">
        <v>45954.55710648148</v>
      </c>
      <c r="C222" s="1" t="n">
        <v>46039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46039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13993-2022</t>
        </is>
      </c>
      <c r="B224" s="1" t="n">
        <v>44650</v>
      </c>
      <c r="C224" s="1" t="n">
        <v>46039</v>
      </c>
      <c r="D224" t="inlineStr">
        <is>
          <t>ÖSTERGÖTLANDS LÄN</t>
        </is>
      </c>
      <c r="E224" t="inlineStr">
        <is>
          <t>BOXHOLM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24508-2024</t>
        </is>
      </c>
      <c r="B225" s="1" t="n">
        <v>45460.33451388889</v>
      </c>
      <c r="C225" s="1" t="n">
        <v>46039</v>
      </c>
      <c r="D225" t="inlineStr">
        <is>
          <t>ÖSTERGÖTLANDS LÄN</t>
        </is>
      </c>
      <c r="E225" t="inlineStr">
        <is>
          <t>BOXHOLM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43824-2023</t>
        </is>
      </c>
      <c r="B226" s="1" t="n">
        <v>45187</v>
      </c>
      <c r="C226" s="1" t="n">
        <v>46039</v>
      </c>
      <c r="D226" t="inlineStr">
        <is>
          <t>ÖSTERGÖTLANDS LÄN</t>
        </is>
      </c>
      <c r="E226" t="inlineStr">
        <is>
          <t>BOXHOLM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21151-2023</t>
        </is>
      </c>
      <c r="B227" s="1" t="n">
        <v>45062</v>
      </c>
      <c r="C227" s="1" t="n">
        <v>46039</v>
      </c>
      <c r="D227" t="inlineStr">
        <is>
          <t>ÖSTERGÖTLANDS LÄN</t>
        </is>
      </c>
      <c r="E227" t="inlineStr">
        <is>
          <t>BOXHOLM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51708-2023</t>
        </is>
      </c>
      <c r="B228" s="1" t="n">
        <v>45222.63094907408</v>
      </c>
      <c r="C228" s="1" t="n">
        <v>46039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24.2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61773-2025</t>
        </is>
      </c>
      <c r="B229" s="1" t="n">
        <v>46002.65616898148</v>
      </c>
      <c r="C229" s="1" t="n">
        <v>46039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61600-2025</t>
        </is>
      </c>
      <c r="B230" s="1" t="n">
        <v>46002.36289351852</v>
      </c>
      <c r="C230" s="1" t="n">
        <v>46039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37474-2025</t>
        </is>
      </c>
      <c r="B231" s="1" t="n">
        <v>45877</v>
      </c>
      <c r="C231" s="1" t="n">
        <v>46039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61810-2025</t>
        </is>
      </c>
      <c r="B232" s="1" t="n">
        <v>46002.85204861111</v>
      </c>
      <c r="C232" s="1" t="n">
        <v>46039</v>
      </c>
      <c r="D232" t="inlineStr">
        <is>
          <t>ÖSTERGÖTLANDS LÄN</t>
        </is>
      </c>
      <c r="E232" t="inlineStr">
        <is>
          <t>BOXHOLM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10317-2025</t>
        </is>
      </c>
      <c r="B233" s="1" t="n">
        <v>45720.46690972222</v>
      </c>
      <c r="C233" s="1" t="n">
        <v>46039</v>
      </c>
      <c r="D233" t="inlineStr">
        <is>
          <t>ÖSTERGÖTLANDS LÄN</t>
        </is>
      </c>
      <c r="E233" t="inlineStr">
        <is>
          <t>BOXHOLM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10315-2025</t>
        </is>
      </c>
      <c r="B234" s="1" t="n">
        <v>45720.45877314815</v>
      </c>
      <c r="C234" s="1" t="n">
        <v>46039</v>
      </c>
      <c r="D234" t="inlineStr">
        <is>
          <t>ÖSTERGÖTLANDS LÄN</t>
        </is>
      </c>
      <c r="E234" t="inlineStr">
        <is>
          <t>BOXHOLM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61777-2025</t>
        </is>
      </c>
      <c r="B235" s="1" t="n">
        <v>46002.66152777777</v>
      </c>
      <c r="C235" s="1" t="n">
        <v>46039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37477-2025</t>
        </is>
      </c>
      <c r="B236" s="1" t="n">
        <v>45877</v>
      </c>
      <c r="C236" s="1" t="n">
        <v>46039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61966-2025</t>
        </is>
      </c>
      <c r="B237" s="1" t="n">
        <v>46003.59415509259</v>
      </c>
      <c r="C237" s="1" t="n">
        <v>46039</v>
      </c>
      <c r="D237" t="inlineStr">
        <is>
          <t>ÖSTERGÖTLANDS LÄN</t>
        </is>
      </c>
      <c r="E237" t="inlineStr">
        <is>
          <t>BOXHOLM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37551-2025</t>
        </is>
      </c>
      <c r="B238" s="1" t="n">
        <v>45880</v>
      </c>
      <c r="C238" s="1" t="n">
        <v>46039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61961-2025</t>
        </is>
      </c>
      <c r="B239" s="1" t="n">
        <v>46003.58892361111</v>
      </c>
      <c r="C239" s="1" t="n">
        <v>46039</v>
      </c>
      <c r="D239" t="inlineStr">
        <is>
          <t>ÖSTERGÖTLANDS LÄN</t>
        </is>
      </c>
      <c r="E239" t="inlineStr">
        <is>
          <t>BOXHOLM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3569-2024</t>
        </is>
      </c>
      <c r="B240" s="1" t="n">
        <v>45320</v>
      </c>
      <c r="C240" s="1" t="n">
        <v>46039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4415-2024</t>
        </is>
      </c>
      <c r="B241" s="1" t="n">
        <v>45327</v>
      </c>
      <c r="C241" s="1" t="n">
        <v>46039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54540-2025</t>
        </is>
      </c>
      <c r="B242" s="1" t="n">
        <v>45965.64679398148</v>
      </c>
      <c r="C242" s="1" t="n">
        <v>46039</v>
      </c>
      <c r="D242" t="inlineStr">
        <is>
          <t>ÖSTERGÖTLANDS LÄN</t>
        </is>
      </c>
      <c r="E242" t="inlineStr">
        <is>
          <t>BOXHOLM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54465-2025</t>
        </is>
      </c>
      <c r="B243" s="1" t="n">
        <v>45965.56792824074</v>
      </c>
      <c r="C243" s="1" t="n">
        <v>46039</v>
      </c>
      <c r="D243" t="inlineStr">
        <is>
          <t>ÖSTERGÖTLANDS LÄN</t>
        </is>
      </c>
      <c r="E243" t="inlineStr">
        <is>
          <t>BOXHOLM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54469-2025</t>
        </is>
      </c>
      <c r="B244" s="1" t="n">
        <v>45965.57197916666</v>
      </c>
      <c r="C244" s="1" t="n">
        <v>46039</v>
      </c>
      <c r="D244" t="inlineStr">
        <is>
          <t>ÖSTERGÖTLANDS LÄN</t>
        </is>
      </c>
      <c r="E244" t="inlineStr">
        <is>
          <t>BOXHOLM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62647-2025</t>
        </is>
      </c>
      <c r="B245" s="1" t="n">
        <v>46008.39512731481</v>
      </c>
      <c r="C245" s="1" t="n">
        <v>46039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62776-2025</t>
        </is>
      </c>
      <c r="B246" s="1" t="n">
        <v>46008.60930555555</v>
      </c>
      <c r="C246" s="1" t="n">
        <v>46039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17728-2025</t>
        </is>
      </c>
      <c r="B247" s="1" t="n">
        <v>45758.4608912037</v>
      </c>
      <c r="C247" s="1" t="n">
        <v>46039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54521-2025</t>
        </is>
      </c>
      <c r="B248" s="1" t="n">
        <v>45965.62938657407</v>
      </c>
      <c r="C248" s="1" t="n">
        <v>46039</v>
      </c>
      <c r="D248" t="inlineStr">
        <is>
          <t>ÖSTERGÖTLANDS LÄN</t>
        </is>
      </c>
      <c r="E248" t="inlineStr">
        <is>
          <t>BOXHOLM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54530-2025</t>
        </is>
      </c>
      <c r="B249" s="1" t="n">
        <v>45965.63539351852</v>
      </c>
      <c r="C249" s="1" t="n">
        <v>46039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59779-2022</t>
        </is>
      </c>
      <c r="B250" s="1" t="n">
        <v>44908.53690972222</v>
      </c>
      <c r="C250" s="1" t="n">
        <v>46039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62796-2025</t>
        </is>
      </c>
      <c r="B251" s="1" t="n">
        <v>46008.63685185185</v>
      </c>
      <c r="C251" s="1" t="n">
        <v>46039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54547-2025</t>
        </is>
      </c>
      <c r="B252" s="1" t="n">
        <v>45965.65302083334</v>
      </c>
      <c r="C252" s="1" t="n">
        <v>46039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931-2024</t>
        </is>
      </c>
      <c r="B253" s="1" t="n">
        <v>45301.50878472222</v>
      </c>
      <c r="C253" s="1" t="n">
        <v>46039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10152-2024</t>
        </is>
      </c>
      <c r="B254" s="1" t="n">
        <v>45364.64773148148</v>
      </c>
      <c r="C254" s="1" t="n">
        <v>46039</v>
      </c>
      <c r="D254" t="inlineStr">
        <is>
          <t>ÖSTERGÖTLANDS LÄN</t>
        </is>
      </c>
      <c r="E254" t="inlineStr">
        <is>
          <t>BOXHOLM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54478-2025</t>
        </is>
      </c>
      <c r="B255" s="1" t="n">
        <v>45965.57989583333</v>
      </c>
      <c r="C255" s="1" t="n">
        <v>46039</v>
      </c>
      <c r="D255" t="inlineStr">
        <is>
          <t>ÖSTERGÖTLANDS LÄN</t>
        </is>
      </c>
      <c r="E255" t="inlineStr">
        <is>
          <t>BOXHOLM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42383-2022</t>
        </is>
      </c>
      <c r="B256" s="1" t="n">
        <v>44831.41400462963</v>
      </c>
      <c r="C256" s="1" t="n">
        <v>46039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1539-2025</t>
        </is>
      </c>
      <c r="B257" s="1" t="n">
        <v>45670.49219907408</v>
      </c>
      <c r="C257" s="1" t="n">
        <v>46039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929-2024</t>
        </is>
      </c>
      <c r="B258" s="1" t="n">
        <v>45301</v>
      </c>
      <c r="C258" s="1" t="n">
        <v>46039</v>
      </c>
      <c r="D258" t="inlineStr">
        <is>
          <t>ÖSTERGÖTLANDS LÄN</t>
        </is>
      </c>
      <c r="E258" t="inlineStr">
        <is>
          <t>BOXHOLM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12734-2025</t>
        </is>
      </c>
      <c r="B259" s="1" t="n">
        <v>45733.51623842592</v>
      </c>
      <c r="C259" s="1" t="n">
        <v>46039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19356-2022</t>
        </is>
      </c>
      <c r="B260" s="1" t="n">
        <v>44692</v>
      </c>
      <c r="C260" s="1" t="n">
        <v>46039</v>
      </c>
      <c r="D260" t="inlineStr">
        <is>
          <t>ÖSTERGÖTLANDS LÄN</t>
        </is>
      </c>
      <c r="E260" t="inlineStr">
        <is>
          <t>BOXHOLM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957-2024</t>
        </is>
      </c>
      <c r="B261" s="1" t="n">
        <v>45301.57243055556</v>
      </c>
      <c r="C261" s="1" t="n">
        <v>46039</v>
      </c>
      <c r="D261" t="inlineStr">
        <is>
          <t>ÖSTERGÖTLANDS LÄN</t>
        </is>
      </c>
      <c r="E261" t="inlineStr">
        <is>
          <t>BOXHOLM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25127-2024</t>
        </is>
      </c>
      <c r="B262" s="1" t="n">
        <v>45462</v>
      </c>
      <c r="C262" s="1" t="n">
        <v>46039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7290-2025</t>
        </is>
      </c>
      <c r="B263" s="1" t="n">
        <v>45702</v>
      </c>
      <c r="C263" s="1" t="n">
        <v>46039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56126-2025</t>
        </is>
      </c>
      <c r="B264" s="1" t="n">
        <v>45973.9084375</v>
      </c>
      <c r="C264" s="1" t="n">
        <v>46039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56127-2025</t>
        </is>
      </c>
      <c r="B265" s="1" t="n">
        <v>45973.91414351852</v>
      </c>
      <c r="C265" s="1" t="n">
        <v>46039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56125-2025</t>
        </is>
      </c>
      <c r="B266" s="1" t="n">
        <v>45973.89113425926</v>
      </c>
      <c r="C266" s="1" t="n">
        <v>46039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46039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45137-2024</t>
        </is>
      </c>
      <c r="B268" s="1" t="n">
        <v>45575.63452546296</v>
      </c>
      <c r="C268" s="1" t="n">
        <v>46039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41080-2024</t>
        </is>
      </c>
      <c r="B269" s="1" t="n">
        <v>45559.40622685185</v>
      </c>
      <c r="C269" s="1" t="n">
        <v>46039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1597-2023</t>
        </is>
      </c>
      <c r="B270" s="1" t="n">
        <v>44937.66346064815</v>
      </c>
      <c r="C270" s="1" t="n">
        <v>46039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15515-2025</t>
        </is>
      </c>
      <c r="B271" s="1" t="n">
        <v>45747.61591435185</v>
      </c>
      <c r="C271" s="1" t="n">
        <v>46039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15523-2025</t>
        </is>
      </c>
      <c r="B272" s="1" t="n">
        <v>45747.62706018519</v>
      </c>
      <c r="C272" s="1" t="n">
        <v>46039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44979.71133101852</v>
      </c>
      <c r="C273" s="1" t="n">
        <v>46039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46237-2024</t>
        </is>
      </c>
      <c r="B274" s="1" t="n">
        <v>45581.58351851852</v>
      </c>
      <c r="C274" s="1" t="n">
        <v>46039</v>
      </c>
      <c r="D274" t="inlineStr">
        <is>
          <t>ÖSTERGÖTLANDS LÄN</t>
        </is>
      </c>
      <c r="E274" t="inlineStr">
        <is>
          <t>BOXHOLM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51757-2023</t>
        </is>
      </c>
      <c r="B275" s="1" t="n">
        <v>45222</v>
      </c>
      <c r="C275" s="1" t="n">
        <v>46039</v>
      </c>
      <c r="D275" t="inlineStr">
        <is>
          <t>ÖSTERGÖTLANDS LÄN</t>
        </is>
      </c>
      <c r="E275" t="inlineStr">
        <is>
          <t>BOXHOLM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55181-2022</t>
        </is>
      </c>
      <c r="B276" s="1" t="n">
        <v>44886.84479166667</v>
      </c>
      <c r="C276" s="1" t="n">
        <v>46039</v>
      </c>
      <c r="D276" t="inlineStr">
        <is>
          <t>ÖSTERGÖTLANDS LÄN</t>
        </is>
      </c>
      <c r="E276" t="inlineStr">
        <is>
          <t>BOXHOLM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55183-2022</t>
        </is>
      </c>
      <c r="B277" s="1" t="n">
        <v>44886</v>
      </c>
      <c r="C277" s="1" t="n">
        <v>46039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55252-2022</t>
        </is>
      </c>
      <c r="B278" s="1" t="n">
        <v>44887.30880787037</v>
      </c>
      <c r="C278" s="1" t="n">
        <v>46039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39693-2024</t>
        </is>
      </c>
      <c r="B279" s="1" t="n">
        <v>45552</v>
      </c>
      <c r="C279" s="1" t="n">
        <v>46039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45859-2024</t>
        </is>
      </c>
      <c r="B280" s="1" t="n">
        <v>45580.34663194444</v>
      </c>
      <c r="C280" s="1" t="n">
        <v>46039</v>
      </c>
      <c r="D280" t="inlineStr">
        <is>
          <t>ÖSTERGÖTLANDS LÄN</t>
        </is>
      </c>
      <c r="E280" t="inlineStr">
        <is>
          <t>BOXHOLM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53316-2024</t>
        </is>
      </c>
      <c r="B281" s="1" t="n">
        <v>45614.39777777778</v>
      </c>
      <c r="C281" s="1" t="n">
        <v>46039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53356-2024</t>
        </is>
      </c>
      <c r="B282" s="1" t="n">
        <v>45614.45748842593</v>
      </c>
      <c r="C282" s="1" t="n">
        <v>46039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24122-2023</t>
        </is>
      </c>
      <c r="B283" s="1" t="n">
        <v>45079</v>
      </c>
      <c r="C283" s="1" t="n">
        <v>46039</v>
      </c>
      <c r="D283" t="inlineStr">
        <is>
          <t>ÖSTERGÖTLANDS LÄN</t>
        </is>
      </c>
      <c r="E283" t="inlineStr">
        <is>
          <t>BOXHOLM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21635-2023</t>
        </is>
      </c>
      <c r="B284" s="1" t="n">
        <v>45062</v>
      </c>
      <c r="C284" s="1" t="n">
        <v>46039</v>
      </c>
      <c r="D284" t="inlineStr">
        <is>
          <t>ÖSTERGÖTLANDS LÄN</t>
        </is>
      </c>
      <c r="E284" t="inlineStr">
        <is>
          <t>BOXHOLM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966-2024</t>
        </is>
      </c>
      <c r="B285" s="1" t="n">
        <v>45301</v>
      </c>
      <c r="C285" s="1" t="n">
        <v>46039</v>
      </c>
      <c r="D285" t="inlineStr">
        <is>
          <t>ÖSTERGÖTLANDS LÄN</t>
        </is>
      </c>
      <c r="E285" t="inlineStr">
        <is>
          <t>BOXHOLM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16755-2022</t>
        </is>
      </c>
      <c r="B286" s="1" t="n">
        <v>44673.4696875</v>
      </c>
      <c r="C286" s="1" t="n">
        <v>46039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22046-2022</t>
        </is>
      </c>
      <c r="B287" s="1" t="n">
        <v>44711.66092592593</v>
      </c>
      <c r="C287" s="1" t="n">
        <v>46039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47978-2023</t>
        </is>
      </c>
      <c r="B288" s="1" t="n">
        <v>45204</v>
      </c>
      <c r="C288" s="1" t="n">
        <v>46039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41973-2024</t>
        </is>
      </c>
      <c r="B289" s="1" t="n">
        <v>45561.61577546296</v>
      </c>
      <c r="C289" s="1" t="n">
        <v>46039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51625-2022</t>
        </is>
      </c>
      <c r="B290" s="1" t="n">
        <v>44872.35686342593</v>
      </c>
      <c r="C290" s="1" t="n">
        <v>46039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15526-2023</t>
        </is>
      </c>
      <c r="B291" s="1" t="n">
        <v>45020.5508912037</v>
      </c>
      <c r="C291" s="1" t="n">
        <v>46039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62192-2022</t>
        </is>
      </c>
      <c r="B292" s="1" t="n">
        <v>44914</v>
      </c>
      <c r="C292" s="1" t="n">
        <v>46039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954-2024</t>
        </is>
      </c>
      <c r="B293" s="1" t="n">
        <v>45301.56914351852</v>
      </c>
      <c r="C293" s="1" t="n">
        <v>46039</v>
      </c>
      <c r="D293" t="inlineStr">
        <is>
          <t>ÖSTERGÖTLANDS LÄN</t>
        </is>
      </c>
      <c r="E293" t="inlineStr">
        <is>
          <t>BOXHOLM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965-2024</t>
        </is>
      </c>
      <c r="B294" s="1" t="n">
        <v>45301.57965277778</v>
      </c>
      <c r="C294" s="1" t="n">
        <v>46039</v>
      </c>
      <c r="D294" t="inlineStr">
        <is>
          <t>ÖSTERGÖTLANDS LÄN</t>
        </is>
      </c>
      <c r="E294" t="inlineStr">
        <is>
          <t>BOXHOLM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46588-2021</t>
        </is>
      </c>
      <c r="B295" s="1" t="n">
        <v>44445.52287037037</v>
      </c>
      <c r="C295" s="1" t="n">
        <v>46039</v>
      </c>
      <c r="D295" t="inlineStr">
        <is>
          <t>ÖSTERGÖTLANDS LÄN</t>
        </is>
      </c>
      <c r="E295" t="inlineStr">
        <is>
          <t>BOXHOLM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10816-2021</t>
        </is>
      </c>
      <c r="B296" s="1" t="n">
        <v>44259</v>
      </c>
      <c r="C296" s="1" t="n">
        <v>46039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16635-2022</t>
        </is>
      </c>
      <c r="B297" s="1" t="n">
        <v>44672</v>
      </c>
      <c r="C297" s="1" t="n">
        <v>46039</v>
      </c>
      <c r="D297" t="inlineStr">
        <is>
          <t>ÖSTERGÖTLANDS LÄN</t>
        </is>
      </c>
      <c r="E297" t="inlineStr">
        <is>
          <t>BOXHOLM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51551-2023</t>
        </is>
      </c>
      <c r="B298" s="1" t="n">
        <v>45222.42771990741</v>
      </c>
      <c r="C298" s="1" t="n">
        <v>46039</v>
      </c>
      <c r="D298" t="inlineStr">
        <is>
          <t>ÖSTERGÖTLANDS LÄN</t>
        </is>
      </c>
      <c r="E298" t="inlineStr">
        <is>
          <t>BOXHOLM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50239-2024</t>
        </is>
      </c>
      <c r="B299" s="1" t="n">
        <v>45600.56137731481</v>
      </c>
      <c r="C299" s="1" t="n">
        <v>46039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50251-2024</t>
        </is>
      </c>
      <c r="B300" s="1" t="n">
        <v>45600.57158564815</v>
      </c>
      <c r="C300" s="1" t="n">
        <v>46039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8771-2022</t>
        </is>
      </c>
      <c r="B301" s="1" t="n">
        <v>44614.39498842593</v>
      </c>
      <c r="C301" s="1" t="n">
        <v>46039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4190-2024</t>
        </is>
      </c>
      <c r="B302" s="1" t="n">
        <v>45324.33511574074</v>
      </c>
      <c r="C302" s="1" t="n">
        <v>46039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2198-2023</t>
        </is>
      </c>
      <c r="B303" s="1" t="n">
        <v>44942</v>
      </c>
      <c r="C303" s="1" t="n">
        <v>46039</v>
      </c>
      <c r="D303" t="inlineStr">
        <is>
          <t>ÖSTERGÖTLANDS LÄN</t>
        </is>
      </c>
      <c r="E303" t="inlineStr">
        <is>
          <t>BOXHOLM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1666-2025</t>
        </is>
      </c>
      <c r="B304" s="1" t="n">
        <v>45670.67089120371</v>
      </c>
      <c r="C304" s="1" t="n">
        <v>46039</v>
      </c>
      <c r="D304" t="inlineStr">
        <is>
          <t>ÖSTERGÖTLANDS LÄN</t>
        </is>
      </c>
      <c r="E304" t="inlineStr">
        <is>
          <t>BOXHOLM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45089.41094907407</v>
      </c>
      <c r="C305" s="1" t="n">
        <v>46039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15476-2023</t>
        </is>
      </c>
      <c r="B306" s="1" t="n">
        <v>45020.45096064815</v>
      </c>
      <c r="C306" s="1" t="n">
        <v>46039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15502-2023</t>
        </is>
      </c>
      <c r="B307" s="1" t="n">
        <v>45020.4886574074</v>
      </c>
      <c r="C307" s="1" t="n">
        <v>46039</v>
      </c>
      <c r="D307" t="inlineStr">
        <is>
          <t>ÖSTERGÖTLANDS LÄN</t>
        </is>
      </c>
      <c r="E307" t="inlineStr">
        <is>
          <t>BOXHOLM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57570-2023</t>
        </is>
      </c>
      <c r="B308" s="1" t="n">
        <v>45246</v>
      </c>
      <c r="C308" s="1" t="n">
        <v>46039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13633-2021</t>
        </is>
      </c>
      <c r="B309" s="1" t="n">
        <v>44274.41601851852</v>
      </c>
      <c r="C309" s="1" t="n">
        <v>46039</v>
      </c>
      <c r="D309" t="inlineStr">
        <is>
          <t>ÖSTERGÖTLANDS LÄN</t>
        </is>
      </c>
      <c r="E309" t="inlineStr">
        <is>
          <t>BOXHOLM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61066-2021</t>
        </is>
      </c>
      <c r="B310" s="1" t="n">
        <v>44497</v>
      </c>
      <c r="C310" s="1" t="n">
        <v>46039</v>
      </c>
      <c r="D310" t="inlineStr">
        <is>
          <t>ÖSTERGÖTLANDS LÄN</t>
        </is>
      </c>
      <c r="E310" t="inlineStr">
        <is>
          <t>BOXHOLM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35091-2023</t>
        </is>
      </c>
      <c r="B311" s="1" t="n">
        <v>45145.4506712963</v>
      </c>
      <c r="C311" s="1" t="n">
        <v>46039</v>
      </c>
      <c r="D311" t="inlineStr">
        <is>
          <t>ÖSTERGÖTLANDS LÄN</t>
        </is>
      </c>
      <c r="E311" t="inlineStr">
        <is>
          <t>BOXHOLM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25279-2024</t>
        </is>
      </c>
      <c r="B312" s="1" t="n">
        <v>45462</v>
      </c>
      <c r="C312" s="1" t="n">
        <v>46039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49069-2023</t>
        </is>
      </c>
      <c r="B313" s="1" t="n">
        <v>45210</v>
      </c>
      <c r="C313" s="1" t="n">
        <v>46039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13735-2021</t>
        </is>
      </c>
      <c r="B314" s="1" t="n">
        <v>44274</v>
      </c>
      <c r="C314" s="1" t="n">
        <v>46039</v>
      </c>
      <c r="D314" t="inlineStr">
        <is>
          <t>ÖSTERGÖTLANDS LÄN</t>
        </is>
      </c>
      <c r="E314" t="inlineStr">
        <is>
          <t>BOXHOLM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39029-2023</t>
        </is>
      </c>
      <c r="B315" s="1" t="n">
        <v>45163</v>
      </c>
      <c r="C315" s="1" t="n">
        <v>46039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39031-2023</t>
        </is>
      </c>
      <c r="B316" s="1" t="n">
        <v>45163</v>
      </c>
      <c r="C316" s="1" t="n">
        <v>46039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39033-2023</t>
        </is>
      </c>
      <c r="B317" s="1" t="n">
        <v>45163</v>
      </c>
      <c r="C317" s="1" t="n">
        <v>46039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49089-2023</t>
        </is>
      </c>
      <c r="B318" s="1" t="n">
        <v>45210</v>
      </c>
      <c r="C318" s="1" t="n">
        <v>46039</v>
      </c>
      <c r="D318" t="inlineStr">
        <is>
          <t>ÖSTERGÖTLANDS LÄN</t>
        </is>
      </c>
      <c r="E318" t="inlineStr">
        <is>
          <t>BOXHOLM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15386-2025</t>
        </is>
      </c>
      <c r="B319" s="1" t="n">
        <v>45747.42486111111</v>
      </c>
      <c r="C319" s="1" t="n">
        <v>46039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10250-2023</t>
        </is>
      </c>
      <c r="B320" s="1" t="n">
        <v>44980</v>
      </c>
      <c r="C320" s="1" t="n">
        <v>46039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22853-2023</t>
        </is>
      </c>
      <c r="B321" s="1" t="n">
        <v>45072.47035879629</v>
      </c>
      <c r="C321" s="1" t="n">
        <v>46039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35187-2021</t>
        </is>
      </c>
      <c r="B322" s="1" t="n">
        <v>44384</v>
      </c>
      <c r="C322" s="1" t="n">
        <v>46039</v>
      </c>
      <c r="D322" t="inlineStr">
        <is>
          <t>ÖSTERGÖTLANDS LÄN</t>
        </is>
      </c>
      <c r="E322" t="inlineStr">
        <is>
          <t>BOXHOLM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9117-2023</t>
        </is>
      </c>
      <c r="B323" s="1" t="n">
        <v>44980.25599537037</v>
      </c>
      <c r="C323" s="1" t="n">
        <v>46039</v>
      </c>
      <c r="D323" t="inlineStr">
        <is>
          <t>ÖSTERGÖTLANDS LÄN</t>
        </is>
      </c>
      <c r="E323" t="inlineStr">
        <is>
          <t>BOXHOLM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16146-2023</t>
        </is>
      </c>
      <c r="B324" s="1" t="n">
        <v>45027.6528125</v>
      </c>
      <c r="C324" s="1" t="n">
        <v>46039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52964-2023</t>
        </is>
      </c>
      <c r="B325" s="1" t="n">
        <v>45226.59262731481</v>
      </c>
      <c r="C325" s="1" t="n">
        <v>46039</v>
      </c>
      <c r="D325" t="inlineStr">
        <is>
          <t>ÖSTERGÖTLANDS LÄN</t>
        </is>
      </c>
      <c r="E325" t="inlineStr">
        <is>
          <t>BOXHOLM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10331-2024</t>
        </is>
      </c>
      <c r="B326" s="1" t="n">
        <v>45365.56921296296</v>
      </c>
      <c r="C326" s="1" t="n">
        <v>46039</v>
      </c>
      <c r="D326" t="inlineStr">
        <is>
          <t>ÖSTERGÖTLANDS LÄN</t>
        </is>
      </c>
      <c r="E326" t="inlineStr">
        <is>
          <t>BOXHOLM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13606-2024</t>
        </is>
      </c>
      <c r="B327" s="1" t="n">
        <v>45390.3405324074</v>
      </c>
      <c r="C327" s="1" t="n">
        <v>46039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51449-2023</t>
        </is>
      </c>
      <c r="B328" s="1" t="n">
        <v>45220.66263888889</v>
      </c>
      <c r="C328" s="1" t="n">
        <v>46039</v>
      </c>
      <c r="D328" t="inlineStr">
        <is>
          <t>ÖSTERGÖTLANDS LÄN</t>
        </is>
      </c>
      <c r="E328" t="inlineStr">
        <is>
          <t>BOXHOLM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15500-2023</t>
        </is>
      </c>
      <c r="B329" s="1" t="n">
        <v>45020.48318287037</v>
      </c>
      <c r="C329" s="1" t="n">
        <v>46039</v>
      </c>
      <c r="D329" t="inlineStr">
        <is>
          <t>ÖSTERGÖTLANDS LÄN</t>
        </is>
      </c>
      <c r="E329" t="inlineStr">
        <is>
          <t>BOXHOLM</t>
        </is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15420-2025</t>
        </is>
      </c>
      <c r="B330" s="1" t="n">
        <v>45747.46194444445</v>
      </c>
      <c r="C330" s="1" t="n">
        <v>46039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8079-2025</t>
        </is>
      </c>
      <c r="B331" s="1" t="n">
        <v>45707.65875</v>
      </c>
      <c r="C331" s="1" t="n">
        <v>46039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8081-2025</t>
        </is>
      </c>
      <c r="B332" s="1" t="n">
        <v>45707.6619212963</v>
      </c>
      <c r="C332" s="1" t="n">
        <v>46039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3129-2025</t>
        </is>
      </c>
      <c r="B333" s="1" t="n">
        <v>45678.73885416667</v>
      </c>
      <c r="C333" s="1" t="n">
        <v>46039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32089-2024</t>
        </is>
      </c>
      <c r="B334" s="1" t="n">
        <v>45511</v>
      </c>
      <c r="C334" s="1" t="n">
        <v>46039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46039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60797-2023</t>
        </is>
      </c>
      <c r="B336" s="1" t="n">
        <v>45259</v>
      </c>
      <c r="C336" s="1" t="n">
        <v>46039</v>
      </c>
      <c r="D336" t="inlineStr">
        <is>
          <t>ÖSTERGÖTLANDS LÄN</t>
        </is>
      </c>
      <c r="E336" t="inlineStr">
        <is>
          <t>BOXHOLM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27647-2023</t>
        </is>
      </c>
      <c r="B337" s="1" t="n">
        <v>45097.68216435185</v>
      </c>
      <c r="C337" s="1" t="n">
        <v>46039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72283-2021</t>
        </is>
      </c>
      <c r="B338" s="1" t="n">
        <v>44545.36866898148</v>
      </c>
      <c r="C338" s="1" t="n">
        <v>46039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48560-2022</t>
        </is>
      </c>
      <c r="B339" s="1" t="n">
        <v>44859</v>
      </c>
      <c r="C339" s="1" t="n">
        <v>46039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17679-2025</t>
        </is>
      </c>
      <c r="B340" s="1" t="n">
        <v>45758.37665509259</v>
      </c>
      <c r="C340" s="1" t="n">
        <v>46039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30210-2024</t>
        </is>
      </c>
      <c r="B341" s="1" t="n">
        <v>45490.39458333333</v>
      </c>
      <c r="C341" s="1" t="n">
        <v>46039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14628-2023</t>
        </is>
      </c>
      <c r="B342" s="1" t="n">
        <v>45013.66702546296</v>
      </c>
      <c r="C342" s="1" t="n">
        <v>46039</v>
      </c>
      <c r="D342" t="inlineStr">
        <is>
          <t>ÖSTERGÖTLANDS LÄN</t>
        </is>
      </c>
      <c r="E342" t="inlineStr">
        <is>
          <t>BOXHOLM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45723-2024</t>
        </is>
      </c>
      <c r="B343" s="1" t="n">
        <v>45579.59450231482</v>
      </c>
      <c r="C343" s="1" t="n">
        <v>46039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19560-2024</t>
        </is>
      </c>
      <c r="B344" s="1" t="n">
        <v>45429.83706018519</v>
      </c>
      <c r="C344" s="1" t="n">
        <v>46039</v>
      </c>
      <c r="D344" t="inlineStr">
        <is>
          <t>ÖSTERGÖTLANDS LÄN</t>
        </is>
      </c>
      <c r="E344" t="inlineStr">
        <is>
          <t>BOXHOLM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5824-2024</t>
        </is>
      </c>
      <c r="B345" s="1" t="n">
        <v>45335</v>
      </c>
      <c r="C345" s="1" t="n">
        <v>46039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956-2024</t>
        </is>
      </c>
      <c r="B346" s="1" t="n">
        <v>45301.57123842592</v>
      </c>
      <c r="C346" s="1" t="n">
        <v>46039</v>
      </c>
      <c r="D346" t="inlineStr">
        <is>
          <t>ÖSTERGÖTLANDS LÄN</t>
        </is>
      </c>
      <c r="E346" t="inlineStr">
        <is>
          <t>BOXHOLM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960-2024</t>
        </is>
      </c>
      <c r="B347" s="1" t="n">
        <v>45301.57719907408</v>
      </c>
      <c r="C347" s="1" t="n">
        <v>46039</v>
      </c>
      <c r="D347" t="inlineStr">
        <is>
          <t>ÖSTERGÖTLANDS LÄN</t>
        </is>
      </c>
      <c r="E347" t="inlineStr">
        <is>
          <t>BOXHOLM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40294-2024</t>
        </is>
      </c>
      <c r="B348" s="1" t="n">
        <v>45554.69435185185</v>
      </c>
      <c r="C348" s="1" t="n">
        <v>46039</v>
      </c>
      <c r="D348" t="inlineStr">
        <is>
          <t>ÖSTERGÖTLANDS LÄN</t>
        </is>
      </c>
      <c r="E348" t="inlineStr">
        <is>
          <t>BOXHOLM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21385-2025</t>
        </is>
      </c>
      <c r="B349" s="1" t="n">
        <v>45782.46883101852</v>
      </c>
      <c r="C349" s="1" t="n">
        <v>46039</v>
      </c>
      <c r="D349" t="inlineStr">
        <is>
          <t>ÖSTERGÖTLANDS LÄN</t>
        </is>
      </c>
      <c r="E349" t="inlineStr">
        <is>
          <t>BOXHOLM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35648-2023</t>
        </is>
      </c>
      <c r="B350" s="1" t="n">
        <v>45147</v>
      </c>
      <c r="C350" s="1" t="n">
        <v>46039</v>
      </c>
      <c r="D350" t="inlineStr">
        <is>
          <t>ÖSTERGÖTLANDS LÄN</t>
        </is>
      </c>
      <c r="E350" t="inlineStr">
        <is>
          <t>BOXHOLM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6884-2024</t>
        </is>
      </c>
      <c r="B351" s="1" t="n">
        <v>45342</v>
      </c>
      <c r="C351" s="1" t="n">
        <v>46039</v>
      </c>
      <c r="D351" t="inlineStr">
        <is>
          <t>ÖSTERGÖTLANDS LÄN</t>
        </is>
      </c>
      <c r="E351" t="inlineStr">
        <is>
          <t>BOXHOLM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31675-2023</t>
        </is>
      </c>
      <c r="B352" s="1" t="n">
        <v>45117</v>
      </c>
      <c r="C352" s="1" t="n">
        <v>46039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24059-2025</t>
        </is>
      </c>
      <c r="B353" s="1" t="n">
        <v>45796.51148148148</v>
      </c>
      <c r="C353" s="1" t="n">
        <v>46039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Kyrkan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24582-2025</t>
        </is>
      </c>
      <c r="B354" s="1" t="n">
        <v>45797</v>
      </c>
      <c r="C354" s="1" t="n">
        <v>46039</v>
      </c>
      <c r="D354" t="inlineStr">
        <is>
          <t>ÖSTERGÖTLANDS LÄN</t>
        </is>
      </c>
      <c r="E354" t="inlineStr">
        <is>
          <t>BOXHOLM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24325-2025</t>
        </is>
      </c>
      <c r="B355" s="1" t="n">
        <v>45797</v>
      </c>
      <c r="C355" s="1" t="n">
        <v>46039</v>
      </c>
      <c r="D355" t="inlineStr">
        <is>
          <t>ÖSTERGÖTLANDS LÄN</t>
        </is>
      </c>
      <c r="E355" t="inlineStr">
        <is>
          <t>BOXHOLM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25937-2024</t>
        </is>
      </c>
      <c r="B356" s="1" t="n">
        <v>45467</v>
      </c>
      <c r="C356" s="1" t="n">
        <v>46039</v>
      </c>
      <c r="D356" t="inlineStr">
        <is>
          <t>ÖSTERGÖTLANDS LÄN</t>
        </is>
      </c>
      <c r="E356" t="inlineStr">
        <is>
          <t>BOXHOLM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26648-2025</t>
        </is>
      </c>
      <c r="B357" s="1" t="n">
        <v>45809</v>
      </c>
      <c r="C357" s="1" t="n">
        <v>46039</v>
      </c>
      <c r="D357" t="inlineStr">
        <is>
          <t>ÖSTERGÖTLANDS LÄN</t>
        </is>
      </c>
      <c r="E357" t="inlineStr">
        <is>
          <t>BOXHOLM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26643-2025</t>
        </is>
      </c>
      <c r="B358" s="1" t="n">
        <v>45809</v>
      </c>
      <c r="C358" s="1" t="n">
        <v>46039</v>
      </c>
      <c r="D358" t="inlineStr">
        <is>
          <t>ÖSTERGÖTLANDS LÄN</t>
        </is>
      </c>
      <c r="E358" t="inlineStr">
        <is>
          <t>BOXHOLM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28629-2025</t>
        </is>
      </c>
      <c r="B359" s="1" t="n">
        <v>45819.62172453704</v>
      </c>
      <c r="C359" s="1" t="n">
        <v>46039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28597-2025</t>
        </is>
      </c>
      <c r="B360" s="1" t="n">
        <v>45819.59641203703</v>
      </c>
      <c r="C360" s="1" t="n">
        <v>46039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28583-2025</t>
        </is>
      </c>
      <c r="B361" s="1" t="n">
        <v>45819.57790509259</v>
      </c>
      <c r="C361" s="1" t="n">
        <v>46039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46039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31808-2025</t>
        </is>
      </c>
      <c r="B363" s="1" t="n">
        <v>45834.55734953703</v>
      </c>
      <c r="C363" s="1" t="n">
        <v>46039</v>
      </c>
      <c r="D363" t="inlineStr">
        <is>
          <t>ÖSTERGÖTLANDS LÄN</t>
        </is>
      </c>
      <c r="E363" t="inlineStr">
        <is>
          <t>BOXHOLM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27816-2025</t>
        </is>
      </c>
      <c r="B364" s="1" t="n">
        <v>45817</v>
      </c>
      <c r="C364" s="1" t="n">
        <v>46039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61486-2024</t>
        </is>
      </c>
      <c r="B365" s="1" t="n">
        <v>45646.54402777777</v>
      </c>
      <c r="C365" s="1" t="n">
        <v>46039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21436-2025</t>
        </is>
      </c>
      <c r="B366" s="1" t="n">
        <v>45782.51927083333</v>
      </c>
      <c r="C366" s="1" t="n">
        <v>46039</v>
      </c>
      <c r="D366" t="inlineStr">
        <is>
          <t>ÖSTERGÖTLANDS LÄN</t>
        </is>
      </c>
      <c r="E366" t="inlineStr">
        <is>
          <t>BOXHOLM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29612-2025</t>
        </is>
      </c>
      <c r="B367" s="1" t="n">
        <v>45825</v>
      </c>
      <c r="C367" s="1" t="n">
        <v>46039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21433-2025</t>
        </is>
      </c>
      <c r="B368" s="1" t="n">
        <v>45782.51542824074</v>
      </c>
      <c r="C368" s="1" t="n">
        <v>46039</v>
      </c>
      <c r="D368" t="inlineStr">
        <is>
          <t>ÖSTERGÖTLANDS LÄN</t>
        </is>
      </c>
      <c r="E368" t="inlineStr">
        <is>
          <t>BOXHOLM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35440-2025</t>
        </is>
      </c>
      <c r="B369" s="1" t="n">
        <v>45855.49415509259</v>
      </c>
      <c r="C369" s="1" t="n">
        <v>46039</v>
      </c>
      <c r="D369" t="inlineStr">
        <is>
          <t>ÖSTERGÖTLANDS LÄN</t>
        </is>
      </c>
      <c r="E369" t="inlineStr">
        <is>
          <t>BOXHOLM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35765-2025</t>
        </is>
      </c>
      <c r="B370" s="1" t="n">
        <v>45860.62929398148</v>
      </c>
      <c r="C370" s="1" t="n">
        <v>46039</v>
      </c>
      <c r="D370" t="inlineStr">
        <is>
          <t>ÖSTERGÖTLANDS LÄN</t>
        </is>
      </c>
      <c r="E370" t="inlineStr">
        <is>
          <t>BOXHOLM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2026-01-17T10:56:33Z</dcterms:created>
  <dcterms:modified xmlns:dcterms="http://purl.org/dc/terms/" xmlns:xsi="http://www.w3.org/2001/XMLSchema-instance" xsi:type="dcterms:W3CDTF">2026-01-17T10:56:33Z</dcterms:modified>
</cp:coreProperties>
</file>