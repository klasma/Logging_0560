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57132-2024</t>
        </is>
      </c>
      <c r="B2" s="1" t="n">
        <v>45629.38376157408</v>
      </c>
      <c r="C2" s="1" t="n">
        <v>45878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7</v>
      </c>
      <c r="H2" t="n">
        <v>0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Gammelekslav
Skrovellav
Skuggorangelav
Kornig nållav</t>
        </is>
      </c>
      <c r="S2">
        <f>HYPERLINK("https://klasma.github.io/Logging_0560/artfynd/A 57132-2024 artfynd.xlsx", "A 57132-2024")</f>
        <v/>
      </c>
      <c r="T2">
        <f>HYPERLINK("https://klasma.github.io/Logging_0560/kartor/A 57132-2024 karta.png", "A 57132-2024")</f>
        <v/>
      </c>
      <c r="V2">
        <f>HYPERLINK("https://klasma.github.io/Logging_0560/klagomål/A 57132-2024 FSC-klagomål.docx", "A 57132-2024")</f>
        <v/>
      </c>
      <c r="W2">
        <f>HYPERLINK("https://klasma.github.io/Logging_0560/klagomålsmail/A 57132-2024 FSC-klagomål mail.docx", "A 57132-2024")</f>
        <v/>
      </c>
      <c r="X2">
        <f>HYPERLINK("https://klasma.github.io/Logging_0560/tillsyn/A 57132-2024 tillsynsbegäran.docx", "A 57132-2024")</f>
        <v/>
      </c>
      <c r="Y2">
        <f>HYPERLINK("https://klasma.github.io/Logging_0560/tillsynsmail/A 57132-2024 tillsynsbegäran mail.docx", "A 57132-2024")</f>
        <v/>
      </c>
    </row>
    <row r="3" ht="15" customHeight="1">
      <c r="A3" t="inlineStr">
        <is>
          <t>A 35665-2024</t>
        </is>
      </c>
      <c r="B3" s="1" t="n">
        <v>45532</v>
      </c>
      <c r="C3" s="1" t="n">
        <v>45878</v>
      </c>
      <c r="D3" t="inlineStr">
        <is>
          <t>ÖSTERGÖTLANDS LÄN</t>
        </is>
      </c>
      <c r="E3" t="inlineStr">
        <is>
          <t>BOXHOLM</t>
        </is>
      </c>
      <c r="G3" t="n">
        <v>1.8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Hässleklocka
Svart trolldruva
Underviol</t>
        </is>
      </c>
      <c r="S3">
        <f>HYPERLINK("https://klasma.github.io/Logging_0560/artfynd/A 35665-2024 artfynd.xlsx", "A 35665-2024")</f>
        <v/>
      </c>
      <c r="T3">
        <f>HYPERLINK("https://klasma.github.io/Logging_0560/kartor/A 35665-2024 karta.png", "A 35665-2024")</f>
        <v/>
      </c>
      <c r="V3">
        <f>HYPERLINK("https://klasma.github.io/Logging_0560/klagomål/A 35665-2024 FSC-klagomål.docx", "A 35665-2024")</f>
        <v/>
      </c>
      <c r="W3">
        <f>HYPERLINK("https://klasma.github.io/Logging_0560/klagomålsmail/A 35665-2024 FSC-klagomål mail.docx", "A 35665-2024")</f>
        <v/>
      </c>
      <c r="X3">
        <f>HYPERLINK("https://klasma.github.io/Logging_0560/tillsyn/A 35665-2024 tillsynsbegäran.docx", "A 35665-2024")</f>
        <v/>
      </c>
      <c r="Y3">
        <f>HYPERLINK("https://klasma.github.io/Logging_0560/tillsynsmail/A 35665-2024 tillsynsbegäran mail.docx", "A 35665-2024")</f>
        <v/>
      </c>
    </row>
    <row r="4" ht="15" customHeight="1">
      <c r="A4" t="inlineStr">
        <is>
          <t>A 36575-2025</t>
        </is>
      </c>
      <c r="B4" s="1" t="n">
        <v>45870.40766203704</v>
      </c>
      <c r="C4" s="1" t="n">
        <v>45878</v>
      </c>
      <c r="D4" t="inlineStr">
        <is>
          <t>ÖSTERGÖTLANDS LÄN</t>
        </is>
      </c>
      <c r="E4" t="inlineStr">
        <is>
          <t>BOXHOLM</t>
        </is>
      </c>
      <c r="F4" t="inlineStr">
        <is>
          <t>Övriga Aktiebolag</t>
        </is>
      </c>
      <c r="G4" t="n">
        <v>5</v>
      </c>
      <c r="H4" t="n">
        <v>0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Gammelekslav
Rosa skärelav
Skuggorangelav</t>
        </is>
      </c>
      <c r="S4">
        <f>HYPERLINK("https://klasma.github.io/Logging_0560/artfynd/A 36575-2025 artfynd.xlsx", "A 36575-2025")</f>
        <v/>
      </c>
      <c r="T4">
        <f>HYPERLINK("https://klasma.github.io/Logging_0560/kartor/A 36575-2025 karta.png", "A 36575-2025")</f>
        <v/>
      </c>
      <c r="V4">
        <f>HYPERLINK("https://klasma.github.io/Logging_0560/klagomål/A 36575-2025 FSC-klagomål.docx", "A 36575-2025")</f>
        <v/>
      </c>
      <c r="W4">
        <f>HYPERLINK("https://klasma.github.io/Logging_0560/klagomålsmail/A 36575-2025 FSC-klagomål mail.docx", "A 36575-2025")</f>
        <v/>
      </c>
      <c r="X4">
        <f>HYPERLINK("https://klasma.github.io/Logging_0560/tillsyn/A 36575-2025 tillsynsbegäran.docx", "A 36575-2025")</f>
        <v/>
      </c>
      <c r="Y4">
        <f>HYPERLINK("https://klasma.github.io/Logging_0560/tillsynsmail/A 36575-2025 tillsynsbegäran mail.docx", "A 36575-2025")</f>
        <v/>
      </c>
    </row>
    <row r="5" ht="15" customHeight="1">
      <c r="A5" t="inlineStr">
        <is>
          <t>A 71028-2021</t>
        </is>
      </c>
      <c r="B5" s="1" t="n">
        <v>44537</v>
      </c>
      <c r="C5" s="1" t="n">
        <v>45878</v>
      </c>
      <c r="D5" t="inlineStr">
        <is>
          <t>ÖSTERGÖTLANDS LÄN</t>
        </is>
      </c>
      <c r="E5" t="inlineStr">
        <is>
          <t>BOXHOLM</t>
        </is>
      </c>
      <c r="G5" t="n">
        <v>2.1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Bredgentiana
Jordtistel</t>
        </is>
      </c>
      <c r="S5">
        <f>HYPERLINK("https://klasma.github.io/Logging_0560/artfynd/A 71028-2021 artfynd.xlsx", "A 71028-2021")</f>
        <v/>
      </c>
      <c r="T5">
        <f>HYPERLINK("https://klasma.github.io/Logging_0560/kartor/A 71028-2021 karta.png", "A 71028-2021")</f>
        <v/>
      </c>
      <c r="V5">
        <f>HYPERLINK("https://klasma.github.io/Logging_0560/klagomål/A 71028-2021 FSC-klagomål.docx", "A 71028-2021")</f>
        <v/>
      </c>
      <c r="W5">
        <f>HYPERLINK("https://klasma.github.io/Logging_0560/klagomålsmail/A 71028-2021 FSC-klagomål mail.docx", "A 71028-2021")</f>
        <v/>
      </c>
      <c r="X5">
        <f>HYPERLINK("https://klasma.github.io/Logging_0560/tillsyn/A 71028-2021 tillsynsbegäran.docx", "A 71028-2021")</f>
        <v/>
      </c>
      <c r="Y5">
        <f>HYPERLINK("https://klasma.github.io/Logging_0560/tillsynsmail/A 71028-2021 tillsynsbegäran mail.docx", "A 71028-2021")</f>
        <v/>
      </c>
    </row>
    <row r="6" ht="15" customHeight="1">
      <c r="A6" t="inlineStr">
        <is>
          <t>A 40509-2023</t>
        </is>
      </c>
      <c r="B6" s="1" t="n">
        <v>45170</v>
      </c>
      <c r="C6" s="1" t="n">
        <v>45878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3.4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Blåsippa</t>
        </is>
      </c>
      <c r="S6">
        <f>HYPERLINK("https://klasma.github.io/Logging_0560/artfynd/A 40509-2023 artfynd.xlsx", "A 40509-2023")</f>
        <v/>
      </c>
      <c r="T6">
        <f>HYPERLINK("https://klasma.github.io/Logging_0560/kartor/A 40509-2023 karta.png", "A 40509-2023")</f>
        <v/>
      </c>
      <c r="V6">
        <f>HYPERLINK("https://klasma.github.io/Logging_0560/klagomål/A 40509-2023 FSC-klagomål.docx", "A 40509-2023")</f>
        <v/>
      </c>
      <c r="W6">
        <f>HYPERLINK("https://klasma.github.io/Logging_0560/klagomålsmail/A 40509-2023 FSC-klagomål mail.docx", "A 40509-2023")</f>
        <v/>
      </c>
      <c r="X6">
        <f>HYPERLINK("https://klasma.github.io/Logging_0560/tillsyn/A 40509-2023 tillsynsbegäran.docx", "A 40509-2023")</f>
        <v/>
      </c>
      <c r="Y6">
        <f>HYPERLINK("https://klasma.github.io/Logging_0560/tillsynsmail/A 40509-2023 tillsynsbegäran mail.docx", "A 40509-2023")</f>
        <v/>
      </c>
    </row>
    <row r="7" ht="15" customHeight="1">
      <c r="A7" t="inlineStr">
        <is>
          <t>A 2669-2022</t>
        </is>
      </c>
      <c r="B7" s="1" t="n">
        <v>44580</v>
      </c>
      <c r="C7" s="1" t="n">
        <v>45878</v>
      </c>
      <c r="D7" t="inlineStr">
        <is>
          <t>ÖSTERGÖTLANDS LÄN</t>
        </is>
      </c>
      <c r="E7" t="inlineStr">
        <is>
          <t>BOXHOLM</t>
        </is>
      </c>
      <c r="G7" t="n">
        <v>2.3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HYPERLINK("https://klasma.github.io/Logging_0560/artfynd/A 2669-2022 artfynd.xlsx", "A 2669-2022")</f>
        <v/>
      </c>
      <c r="T7">
        <f>HYPERLINK("https://klasma.github.io/Logging_0560/kartor/A 2669-2022 karta.png", "A 2669-2022")</f>
        <v/>
      </c>
      <c r="V7">
        <f>HYPERLINK("https://klasma.github.io/Logging_0560/klagomål/A 2669-2022 FSC-klagomål.docx", "A 2669-2022")</f>
        <v/>
      </c>
      <c r="W7">
        <f>HYPERLINK("https://klasma.github.io/Logging_0560/klagomålsmail/A 2669-2022 FSC-klagomål mail.docx", "A 2669-2022")</f>
        <v/>
      </c>
      <c r="X7">
        <f>HYPERLINK("https://klasma.github.io/Logging_0560/tillsyn/A 2669-2022 tillsynsbegäran.docx", "A 2669-2022")</f>
        <v/>
      </c>
      <c r="Y7">
        <f>HYPERLINK("https://klasma.github.io/Logging_0560/tillsynsmail/A 2669-2022 tillsynsbegäran mail.docx", "A 2669-2022")</f>
        <v/>
      </c>
    </row>
    <row r="8" ht="15" customHeight="1">
      <c r="A8" t="inlineStr">
        <is>
          <t>A 53268-2020</t>
        </is>
      </c>
      <c r="B8" s="1" t="n">
        <v>44123</v>
      </c>
      <c r="C8" s="1" t="n">
        <v>45878</v>
      </c>
      <c r="D8" t="inlineStr">
        <is>
          <t>ÖSTERGÖTLANDS LÄN</t>
        </is>
      </c>
      <c r="E8" t="inlineStr">
        <is>
          <t>BOXHOLM</t>
        </is>
      </c>
      <c r="G8" t="n">
        <v>1.3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HYPERLINK("https://klasma.github.io/Logging_0560/artfynd/A 53268-2020 artfynd.xlsx", "A 53268-2020")</f>
        <v/>
      </c>
      <c r="T8">
        <f>HYPERLINK("https://klasma.github.io/Logging_0560/kartor/A 53268-2020 karta.png", "A 53268-2020")</f>
        <v/>
      </c>
      <c r="U8">
        <f>HYPERLINK("https://klasma.github.io/Logging_0560/knärot/A 53268-2020 karta knärot.png", "A 53268-2020")</f>
        <v/>
      </c>
      <c r="V8">
        <f>HYPERLINK("https://klasma.github.io/Logging_0560/klagomål/A 53268-2020 FSC-klagomål.docx", "A 53268-2020")</f>
        <v/>
      </c>
      <c r="W8">
        <f>HYPERLINK("https://klasma.github.io/Logging_0560/klagomålsmail/A 53268-2020 FSC-klagomål mail.docx", "A 53268-2020")</f>
        <v/>
      </c>
      <c r="X8">
        <f>HYPERLINK("https://klasma.github.io/Logging_0560/tillsyn/A 53268-2020 tillsynsbegäran.docx", "A 53268-2020")</f>
        <v/>
      </c>
      <c r="Y8">
        <f>HYPERLINK("https://klasma.github.io/Logging_0560/tillsynsmail/A 53268-2020 tillsynsbegäran mail.docx", "A 53268-2020")</f>
        <v/>
      </c>
    </row>
    <row r="9" ht="15" customHeight="1">
      <c r="A9" t="inlineStr">
        <is>
          <t>A 5001-2022</t>
        </is>
      </c>
      <c r="B9" s="1" t="n">
        <v>44593.60979166667</v>
      </c>
      <c r="C9" s="1" t="n">
        <v>45878</v>
      </c>
      <c r="D9" t="inlineStr">
        <is>
          <t>ÖSTERGÖTLANDS LÄN</t>
        </is>
      </c>
      <c r="E9" t="inlineStr">
        <is>
          <t>BOXHOLM</t>
        </is>
      </c>
      <c r="F9" t="inlineStr">
        <is>
          <t>Övriga Aktiebolag</t>
        </is>
      </c>
      <c r="G9" t="n">
        <v>7.9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Carphacis striatus</t>
        </is>
      </c>
      <c r="S9">
        <f>HYPERLINK("https://klasma.github.io/Logging_0560/artfynd/A 5001-2022 artfynd.xlsx", "A 5001-2022")</f>
        <v/>
      </c>
      <c r="T9">
        <f>HYPERLINK("https://klasma.github.io/Logging_0560/kartor/A 5001-2022 karta.png", "A 5001-2022")</f>
        <v/>
      </c>
      <c r="V9">
        <f>HYPERLINK("https://klasma.github.io/Logging_0560/klagomål/A 5001-2022 FSC-klagomål.docx", "A 5001-2022")</f>
        <v/>
      </c>
      <c r="W9">
        <f>HYPERLINK("https://klasma.github.io/Logging_0560/klagomålsmail/A 5001-2022 FSC-klagomål mail.docx", "A 5001-2022")</f>
        <v/>
      </c>
      <c r="X9">
        <f>HYPERLINK("https://klasma.github.io/Logging_0560/tillsyn/A 5001-2022 tillsynsbegäran.docx", "A 5001-2022")</f>
        <v/>
      </c>
      <c r="Y9">
        <f>HYPERLINK("https://klasma.github.io/Logging_0560/tillsynsmail/A 5001-2022 tillsynsbegäran mail.docx", "A 5001-2022")</f>
        <v/>
      </c>
    </row>
    <row r="10" ht="15" customHeight="1">
      <c r="A10" t="inlineStr">
        <is>
          <t>A 52847-2024</t>
        </is>
      </c>
      <c r="B10" s="1" t="n">
        <v>45610.60292824074</v>
      </c>
      <c r="C10" s="1" t="n">
        <v>45878</v>
      </c>
      <c r="D10" t="inlineStr">
        <is>
          <t>ÖSTERGÖTLANDS LÄN</t>
        </is>
      </c>
      <c r="E10" t="inlineStr">
        <is>
          <t>BOXHOLM</t>
        </is>
      </c>
      <c r="G10" t="n">
        <v>1.2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Vårstarr</t>
        </is>
      </c>
      <c r="S10">
        <f>HYPERLINK("https://klasma.github.io/Logging_0560/artfynd/A 52847-2024 artfynd.xlsx", "A 52847-2024")</f>
        <v/>
      </c>
      <c r="T10">
        <f>HYPERLINK("https://klasma.github.io/Logging_0560/kartor/A 52847-2024 karta.png", "A 52847-2024")</f>
        <v/>
      </c>
      <c r="V10">
        <f>HYPERLINK("https://klasma.github.io/Logging_0560/klagomål/A 52847-2024 FSC-klagomål.docx", "A 52847-2024")</f>
        <v/>
      </c>
      <c r="W10">
        <f>HYPERLINK("https://klasma.github.io/Logging_0560/klagomålsmail/A 52847-2024 FSC-klagomål mail.docx", "A 52847-2024")</f>
        <v/>
      </c>
      <c r="X10">
        <f>HYPERLINK("https://klasma.github.io/Logging_0560/tillsyn/A 52847-2024 tillsynsbegäran.docx", "A 52847-2024")</f>
        <v/>
      </c>
      <c r="Y10">
        <f>HYPERLINK("https://klasma.github.io/Logging_0560/tillsynsmail/A 52847-2024 tillsynsbegäran mail.docx", "A 52847-2024")</f>
        <v/>
      </c>
    </row>
    <row r="11" ht="15" customHeight="1">
      <c r="A11" t="inlineStr">
        <is>
          <t>A 59418-2022</t>
        </is>
      </c>
      <c r="B11" s="1" t="n">
        <v>44907</v>
      </c>
      <c r="C11" s="1" t="n">
        <v>45878</v>
      </c>
      <c r="D11" t="inlineStr">
        <is>
          <t>ÖSTERGÖTLANDS LÄN</t>
        </is>
      </c>
      <c r="E11" t="inlineStr">
        <is>
          <t>BOXHOLM</t>
        </is>
      </c>
      <c r="F11" t="inlineStr">
        <is>
          <t>Övriga Aktiebolag</t>
        </is>
      </c>
      <c r="G11" t="n">
        <v>6.5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HYPERLINK("https://klasma.github.io/Logging_0560/artfynd/A 59418-2022 artfynd.xlsx", "A 59418-2022")</f>
        <v/>
      </c>
      <c r="T11">
        <f>HYPERLINK("https://klasma.github.io/Logging_0560/kartor/A 59418-2022 karta.png", "A 59418-2022")</f>
        <v/>
      </c>
      <c r="V11">
        <f>HYPERLINK("https://klasma.github.io/Logging_0560/klagomål/A 59418-2022 FSC-klagomål.docx", "A 59418-2022")</f>
        <v/>
      </c>
      <c r="W11">
        <f>HYPERLINK("https://klasma.github.io/Logging_0560/klagomålsmail/A 59418-2022 FSC-klagomål mail.docx", "A 59418-2022")</f>
        <v/>
      </c>
      <c r="X11">
        <f>HYPERLINK("https://klasma.github.io/Logging_0560/tillsyn/A 59418-2022 tillsynsbegäran.docx", "A 59418-2022")</f>
        <v/>
      </c>
      <c r="Y11">
        <f>HYPERLINK("https://klasma.github.io/Logging_0560/tillsynsmail/A 59418-2022 tillsynsbegäran mail.docx", "A 59418-2022")</f>
        <v/>
      </c>
    </row>
    <row r="12" ht="15" customHeight="1">
      <c r="A12" t="inlineStr">
        <is>
          <t>A 8171-2025</t>
        </is>
      </c>
      <c r="B12" s="1" t="n">
        <v>45708.3696875</v>
      </c>
      <c r="C12" s="1" t="n">
        <v>45878</v>
      </c>
      <c r="D12" t="inlineStr">
        <is>
          <t>ÖSTERGÖTLANDS LÄN</t>
        </is>
      </c>
      <c r="E12" t="inlineStr">
        <is>
          <t>BOXHOLM</t>
        </is>
      </c>
      <c r="F12" t="inlineStr">
        <is>
          <t>Kyrkan</t>
        </is>
      </c>
      <c r="G12" t="n">
        <v>14.2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Skogshare</t>
        </is>
      </c>
      <c r="S12">
        <f>HYPERLINK("https://klasma.github.io/Logging_0560/artfynd/A 8171-2025 artfynd.xlsx", "A 8171-2025")</f>
        <v/>
      </c>
      <c r="T12">
        <f>HYPERLINK("https://klasma.github.io/Logging_0560/kartor/A 8171-2025 karta.png", "A 8171-2025")</f>
        <v/>
      </c>
      <c r="V12">
        <f>HYPERLINK("https://klasma.github.io/Logging_0560/klagomål/A 8171-2025 FSC-klagomål.docx", "A 8171-2025")</f>
        <v/>
      </c>
      <c r="W12">
        <f>HYPERLINK("https://klasma.github.io/Logging_0560/klagomålsmail/A 8171-2025 FSC-klagomål mail.docx", "A 8171-2025")</f>
        <v/>
      </c>
      <c r="X12">
        <f>HYPERLINK("https://klasma.github.io/Logging_0560/tillsyn/A 8171-2025 tillsynsbegäran.docx", "A 8171-2025")</f>
        <v/>
      </c>
      <c r="Y12">
        <f>HYPERLINK("https://klasma.github.io/Logging_0560/tillsynsmail/A 8171-2025 tillsynsbegäran mail.docx", "A 8171-2025")</f>
        <v/>
      </c>
    </row>
    <row r="13" ht="15" customHeight="1">
      <c r="A13" t="inlineStr">
        <is>
          <t>A 10733-2024</t>
        </is>
      </c>
      <c r="B13" s="1" t="n">
        <v>45369.48751157407</v>
      </c>
      <c r="C13" s="1" t="n">
        <v>45878</v>
      </c>
      <c r="D13" t="inlineStr">
        <is>
          <t>ÖSTERGÖTLANDS LÄN</t>
        </is>
      </c>
      <c r="E13" t="inlineStr">
        <is>
          <t>BOXHOLM</t>
        </is>
      </c>
      <c r="G13" t="n">
        <v>1.8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HYPERLINK("https://klasma.github.io/Logging_0560/artfynd/A 10733-2024 artfynd.xlsx", "A 10733-2024")</f>
        <v/>
      </c>
      <c r="T13">
        <f>HYPERLINK("https://klasma.github.io/Logging_0560/kartor/A 10733-2024 karta.png", "A 10733-2024")</f>
        <v/>
      </c>
      <c r="U13">
        <f>HYPERLINK("https://klasma.github.io/Logging_0560/knärot/A 10733-2024 karta knärot.png", "A 10733-2024")</f>
        <v/>
      </c>
      <c r="V13">
        <f>HYPERLINK("https://klasma.github.io/Logging_0560/klagomål/A 10733-2024 FSC-klagomål.docx", "A 10733-2024")</f>
        <v/>
      </c>
      <c r="W13">
        <f>HYPERLINK("https://klasma.github.io/Logging_0560/klagomålsmail/A 10733-2024 FSC-klagomål mail.docx", "A 10733-2024")</f>
        <v/>
      </c>
      <c r="X13">
        <f>HYPERLINK("https://klasma.github.io/Logging_0560/tillsyn/A 10733-2024 tillsynsbegäran.docx", "A 10733-2024")</f>
        <v/>
      </c>
      <c r="Y13">
        <f>HYPERLINK("https://klasma.github.io/Logging_0560/tillsynsmail/A 10733-2024 tillsynsbegäran mail.docx", "A 10733-2024")</f>
        <v/>
      </c>
    </row>
    <row r="14" ht="15" customHeight="1">
      <c r="A14" t="inlineStr">
        <is>
          <t>A 27418-2025</t>
        </is>
      </c>
      <c r="B14" s="1" t="n">
        <v>45812.88770833334</v>
      </c>
      <c r="C14" s="1" t="n">
        <v>45878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HYPERLINK("https://klasma.github.io/Logging_0560/artfynd/A 27418-2025 artfynd.xlsx", "A 27418-2025")</f>
        <v/>
      </c>
      <c r="T14">
        <f>HYPERLINK("https://klasma.github.io/Logging_0560/kartor/A 27418-2025 karta.png", "A 27418-2025")</f>
        <v/>
      </c>
      <c r="V14">
        <f>HYPERLINK("https://klasma.github.io/Logging_0560/klagomål/A 27418-2025 FSC-klagomål.docx", "A 27418-2025")</f>
        <v/>
      </c>
      <c r="W14">
        <f>HYPERLINK("https://klasma.github.io/Logging_0560/klagomålsmail/A 27418-2025 FSC-klagomål mail.docx", "A 27418-2025")</f>
        <v/>
      </c>
      <c r="X14">
        <f>HYPERLINK("https://klasma.github.io/Logging_0560/tillsyn/A 27418-2025 tillsynsbegäran.docx", "A 27418-2025")</f>
        <v/>
      </c>
      <c r="Y14">
        <f>HYPERLINK("https://klasma.github.io/Logging_0560/tillsynsmail/A 27418-2025 tillsynsbegäran mail.docx", "A 27418-2025")</f>
        <v/>
      </c>
    </row>
    <row r="15" ht="15" customHeight="1">
      <c r="A15" t="inlineStr">
        <is>
          <t>A 36475-2025</t>
        </is>
      </c>
      <c r="B15" s="1" t="n">
        <v>45869.48996527777</v>
      </c>
      <c r="C15" s="1" t="n">
        <v>45878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2.1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HYPERLINK("https://klasma.github.io/Logging_0560/artfynd/A 36475-2025 artfynd.xlsx", "A 36475-2025")</f>
        <v/>
      </c>
      <c r="T15">
        <f>HYPERLINK("https://klasma.github.io/Logging_0560/kartor/A 36475-2025 karta.png", "A 36475-2025")</f>
        <v/>
      </c>
      <c r="V15">
        <f>HYPERLINK("https://klasma.github.io/Logging_0560/klagomål/A 36475-2025 FSC-klagomål.docx", "A 36475-2025")</f>
        <v/>
      </c>
      <c r="W15">
        <f>HYPERLINK("https://klasma.github.io/Logging_0560/klagomålsmail/A 36475-2025 FSC-klagomål mail.docx", "A 36475-2025")</f>
        <v/>
      </c>
      <c r="X15">
        <f>HYPERLINK("https://klasma.github.io/Logging_0560/tillsyn/A 36475-2025 tillsynsbegäran.docx", "A 36475-2025")</f>
        <v/>
      </c>
      <c r="Y15">
        <f>HYPERLINK("https://klasma.github.io/Logging_0560/tillsynsmail/A 36475-2025 tillsynsbegäran mail.docx", "A 36475-2025")</f>
        <v/>
      </c>
    </row>
    <row r="16" ht="15" customHeight="1">
      <c r="A16" t="inlineStr">
        <is>
          <t>A 52197-2022</t>
        </is>
      </c>
      <c r="B16" s="1" t="n">
        <v>44873.55592592592</v>
      </c>
      <c r="C16" s="1" t="n">
        <v>45878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63202-2021</t>
        </is>
      </c>
      <c r="B17" s="1" t="n">
        <v>44507</v>
      </c>
      <c r="C17" s="1" t="n">
        <v>45878</v>
      </c>
      <c r="D17" t="inlineStr">
        <is>
          <t>ÖSTERGÖTLANDS LÄN</t>
        </is>
      </c>
      <c r="E17" t="inlineStr">
        <is>
          <t>BOXHOLM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55182-2022</t>
        </is>
      </c>
      <c r="B18" s="1" t="n">
        <v>44886.84512731482</v>
      </c>
      <c r="C18" s="1" t="n">
        <v>45878</v>
      </c>
      <c r="D18" t="inlineStr">
        <is>
          <t>ÖSTERGÖTLANDS LÄN</t>
        </is>
      </c>
      <c r="E18" t="inlineStr">
        <is>
          <t>BOXHOLM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44898-2022</t>
        </is>
      </c>
      <c r="B19" s="1" t="n">
        <v>44841</v>
      </c>
      <c r="C19" s="1" t="n">
        <v>45878</v>
      </c>
      <c r="D19" t="inlineStr">
        <is>
          <t>ÖSTERGÖTLANDS LÄN</t>
        </is>
      </c>
      <c r="E19" t="inlineStr">
        <is>
          <t>BOXHOLM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37578-2022</t>
        </is>
      </c>
      <c r="B20" s="1" t="n">
        <v>44809</v>
      </c>
      <c r="C20" s="1" t="n">
        <v>45878</v>
      </c>
      <c r="D20" t="inlineStr">
        <is>
          <t>ÖSTERGÖTLANDS LÄN</t>
        </is>
      </c>
      <c r="E20" t="inlineStr">
        <is>
          <t>BOXHOLM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16753-2022</t>
        </is>
      </c>
      <c r="B21" s="1" t="n">
        <v>44673.46701388889</v>
      </c>
      <c r="C21" s="1" t="n">
        <v>45878</v>
      </c>
      <c r="D21" t="inlineStr">
        <is>
          <t>ÖSTERGÖTLANDS LÄN</t>
        </is>
      </c>
      <c r="E21" t="inlineStr">
        <is>
          <t>BOXHOLM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12976-2021</t>
        </is>
      </c>
      <c r="B22" s="1" t="n">
        <v>44271</v>
      </c>
      <c r="C22" s="1" t="n">
        <v>45878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22043-2022</t>
        </is>
      </c>
      <c r="B23" s="1" t="n">
        <v>44711</v>
      </c>
      <c r="C23" s="1" t="n">
        <v>45878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54708-2021</t>
        </is>
      </c>
      <c r="B24" s="1" t="n">
        <v>44473.70909722222</v>
      </c>
      <c r="C24" s="1" t="n">
        <v>45878</v>
      </c>
      <c r="D24" t="inlineStr">
        <is>
          <t>ÖSTERGÖTLANDS LÄN</t>
        </is>
      </c>
      <c r="E24" t="inlineStr">
        <is>
          <t>BOXHOLM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55092-2020</t>
        </is>
      </c>
      <c r="B25" s="1" t="n">
        <v>44130</v>
      </c>
      <c r="C25" s="1" t="n">
        <v>45878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37771-2020</t>
        </is>
      </c>
      <c r="B26" s="1" t="n">
        <v>44056</v>
      </c>
      <c r="C26" s="1" t="n">
        <v>45878</v>
      </c>
      <c r="D26" t="inlineStr">
        <is>
          <t>ÖSTERGÖTLANDS LÄN</t>
        </is>
      </c>
      <c r="E26" t="inlineStr">
        <is>
          <t>BOXHOLM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56800-2021</t>
        </is>
      </c>
      <c r="B27" s="1" t="n">
        <v>44481</v>
      </c>
      <c r="C27" s="1" t="n">
        <v>45878</v>
      </c>
      <c r="D27" t="inlineStr">
        <is>
          <t>ÖSTERGÖTLANDS LÄN</t>
        </is>
      </c>
      <c r="E27" t="inlineStr">
        <is>
          <t>BOXHOLM</t>
        </is>
      </c>
      <c r="F27" t="inlineStr">
        <is>
          <t>Övriga Aktiebolag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67372-2021</t>
        </is>
      </c>
      <c r="B28" s="1" t="n">
        <v>44523.87792824074</v>
      </c>
      <c r="C28" s="1" t="n">
        <v>45878</v>
      </c>
      <c r="D28" t="inlineStr">
        <is>
          <t>ÖSTERGÖTLANDS LÄN</t>
        </is>
      </c>
      <c r="E28" t="inlineStr">
        <is>
          <t>BOXHOLM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50455-2022</t>
        </is>
      </c>
      <c r="B29" s="1" t="n">
        <v>44866</v>
      </c>
      <c r="C29" s="1" t="n">
        <v>45878</v>
      </c>
      <c r="D29" t="inlineStr">
        <is>
          <t>ÖSTERGÖTLANDS LÄN</t>
        </is>
      </c>
      <c r="E29" t="inlineStr">
        <is>
          <t>BOXHOLM</t>
        </is>
      </c>
      <c r="F29" t="inlineStr">
        <is>
          <t>Övriga Aktiebolag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43219-2022</t>
        </is>
      </c>
      <c r="B30" s="1" t="n">
        <v>44834</v>
      </c>
      <c r="C30" s="1" t="n">
        <v>45878</v>
      </c>
      <c r="D30" t="inlineStr">
        <is>
          <t>ÖSTERGÖTLANDS LÄN</t>
        </is>
      </c>
      <c r="E30" t="inlineStr">
        <is>
          <t>BOXHOLM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13636-2021</t>
        </is>
      </c>
      <c r="B31" s="1" t="n">
        <v>44274.42447916666</v>
      </c>
      <c r="C31" s="1" t="n">
        <v>45878</v>
      </c>
      <c r="D31" t="inlineStr">
        <is>
          <t>ÖSTERGÖTLANDS LÄN</t>
        </is>
      </c>
      <c r="E31" t="inlineStr">
        <is>
          <t>BOXHOLM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26302-2021</t>
        </is>
      </c>
      <c r="B32" s="1" t="n">
        <v>44347</v>
      </c>
      <c r="C32" s="1" t="n">
        <v>45878</v>
      </c>
      <c r="D32" t="inlineStr">
        <is>
          <t>ÖSTERGÖTLANDS LÄN</t>
        </is>
      </c>
      <c r="E32" t="inlineStr">
        <is>
          <t>BOXHOLM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16107-2022</t>
        </is>
      </c>
      <c r="B33" s="1" t="n">
        <v>44665.62245370371</v>
      </c>
      <c r="C33" s="1" t="n">
        <v>45878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42698-2022</t>
        </is>
      </c>
      <c r="B34" s="1" t="n">
        <v>44832.36969907407</v>
      </c>
      <c r="C34" s="1" t="n">
        <v>45878</v>
      </c>
      <c r="D34" t="inlineStr">
        <is>
          <t>ÖSTERGÖTLANDS LÄN</t>
        </is>
      </c>
      <c r="E34" t="inlineStr">
        <is>
          <t>BOXHOLM</t>
        </is>
      </c>
      <c r="F34" t="inlineStr">
        <is>
          <t>Övriga Aktiebolag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68826-2020</t>
        </is>
      </c>
      <c r="B35" s="1" t="n">
        <v>44187</v>
      </c>
      <c r="C35" s="1" t="n">
        <v>45878</v>
      </c>
      <c r="D35" t="inlineStr">
        <is>
          <t>ÖSTERGÖTLANDS LÄN</t>
        </is>
      </c>
      <c r="E35" t="inlineStr">
        <is>
          <t>BOXHOLM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41078-2020</t>
        </is>
      </c>
      <c r="B36" s="1" t="n">
        <v>44071</v>
      </c>
      <c r="C36" s="1" t="n">
        <v>45878</v>
      </c>
      <c r="D36" t="inlineStr">
        <is>
          <t>ÖSTERGÖTLANDS LÄN</t>
        </is>
      </c>
      <c r="E36" t="inlineStr">
        <is>
          <t>BOXHOLM</t>
        </is>
      </c>
      <c r="F36" t="inlineStr">
        <is>
          <t>Övriga Aktiebolag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41530-2020</t>
        </is>
      </c>
      <c r="B37" s="1" t="n">
        <v>44074</v>
      </c>
      <c r="C37" s="1" t="n">
        <v>45878</v>
      </c>
      <c r="D37" t="inlineStr">
        <is>
          <t>ÖSTERGÖTLANDS LÄN</t>
        </is>
      </c>
      <c r="E37" t="inlineStr">
        <is>
          <t>BOXHOLM</t>
        </is>
      </c>
      <c r="F37" t="inlineStr">
        <is>
          <t>Allmännings- och besparingsskogar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28315-2022</t>
        </is>
      </c>
      <c r="B38" s="1" t="n">
        <v>44747.36435185185</v>
      </c>
      <c r="C38" s="1" t="n">
        <v>45878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41754-2020</t>
        </is>
      </c>
      <c r="B39" s="1" t="n">
        <v>44074</v>
      </c>
      <c r="C39" s="1" t="n">
        <v>45878</v>
      </c>
      <c r="D39" t="inlineStr">
        <is>
          <t>ÖSTERGÖTLANDS LÄN</t>
        </is>
      </c>
      <c r="E39" t="inlineStr">
        <is>
          <t>BOXHOLM</t>
        </is>
      </c>
      <c r="F39" t="inlineStr">
        <is>
          <t>Allmännings- och besparingsskogar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32370-2021</t>
        </is>
      </c>
      <c r="B40" s="1" t="n">
        <v>44371</v>
      </c>
      <c r="C40" s="1" t="n">
        <v>45878</v>
      </c>
      <c r="D40" t="inlineStr">
        <is>
          <t>ÖSTERGÖTLANDS LÄN</t>
        </is>
      </c>
      <c r="E40" t="inlineStr">
        <is>
          <t>BOXHOLM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17882-2021</t>
        </is>
      </c>
      <c r="B41" s="1" t="n">
        <v>44301.39192129629</v>
      </c>
      <c r="C41" s="1" t="n">
        <v>45878</v>
      </c>
      <c r="D41" t="inlineStr">
        <is>
          <t>ÖSTERGÖTLANDS LÄN</t>
        </is>
      </c>
      <c r="E41" t="inlineStr">
        <is>
          <t>BOXHOLM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16751-2022</t>
        </is>
      </c>
      <c r="B42" s="1" t="n">
        <v>44673.46445601852</v>
      </c>
      <c r="C42" s="1" t="n">
        <v>45878</v>
      </c>
      <c r="D42" t="inlineStr">
        <is>
          <t>ÖSTERGÖTLANDS LÄN</t>
        </is>
      </c>
      <c r="E42" t="inlineStr">
        <is>
          <t>BOXHOLM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47144-2022</t>
        </is>
      </c>
      <c r="B43" s="1" t="n">
        <v>44852</v>
      </c>
      <c r="C43" s="1" t="n">
        <v>45878</v>
      </c>
      <c r="D43" t="inlineStr">
        <is>
          <t>ÖSTERGÖTLANDS LÄN</t>
        </is>
      </c>
      <c r="E43" t="inlineStr">
        <is>
          <t>BOXHOLM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42693-2022</t>
        </is>
      </c>
      <c r="B44" s="1" t="n">
        <v>44832.3636574074</v>
      </c>
      <c r="C44" s="1" t="n">
        <v>45878</v>
      </c>
      <c r="D44" t="inlineStr">
        <is>
          <t>ÖSTERGÖTLANDS LÄN</t>
        </is>
      </c>
      <c r="E44" t="inlineStr">
        <is>
          <t>BOXHOLM</t>
        </is>
      </c>
      <c r="F44" t="inlineStr">
        <is>
          <t>Övriga Aktiebolag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42704-2022</t>
        </is>
      </c>
      <c r="B45" s="1" t="n">
        <v>44832.38378472222</v>
      </c>
      <c r="C45" s="1" t="n">
        <v>45878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71037-2021</t>
        </is>
      </c>
      <c r="B46" s="1" t="n">
        <v>44537</v>
      </c>
      <c r="C46" s="1" t="n">
        <v>45878</v>
      </c>
      <c r="D46" t="inlineStr">
        <is>
          <t>ÖSTERGÖTLANDS LÄN</t>
        </is>
      </c>
      <c r="E46" t="inlineStr">
        <is>
          <t>BOXHOLM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15507-2021</t>
        </is>
      </c>
      <c r="B47" s="1" t="n">
        <v>44285</v>
      </c>
      <c r="C47" s="1" t="n">
        <v>45878</v>
      </c>
      <c r="D47" t="inlineStr">
        <is>
          <t>ÖSTERGÖTLANDS LÄN</t>
        </is>
      </c>
      <c r="E47" t="inlineStr">
        <is>
          <t>BOXHOLM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51261-2021</t>
        </is>
      </c>
      <c r="B48" s="1" t="n">
        <v>44461</v>
      </c>
      <c r="C48" s="1" t="n">
        <v>45878</v>
      </c>
      <c r="D48" t="inlineStr">
        <is>
          <t>ÖSTERGÖTLANDS LÄN</t>
        </is>
      </c>
      <c r="E48" t="inlineStr">
        <is>
          <t>BOXHOLM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72285-2021</t>
        </is>
      </c>
      <c r="B49" s="1" t="n">
        <v>44545.36984953703</v>
      </c>
      <c r="C49" s="1" t="n">
        <v>45878</v>
      </c>
      <c r="D49" t="inlineStr">
        <is>
          <t>ÖSTERGÖTLANDS LÄN</t>
        </is>
      </c>
      <c r="E49" t="inlineStr">
        <is>
          <t>BOXHOLM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60159-2020</t>
        </is>
      </c>
      <c r="B50" s="1" t="n">
        <v>44152</v>
      </c>
      <c r="C50" s="1" t="n">
        <v>45878</v>
      </c>
      <c r="D50" t="inlineStr">
        <is>
          <t>ÖSTERGÖTLANDS LÄN</t>
        </is>
      </c>
      <c r="E50" t="inlineStr">
        <is>
          <t>BOXHOLM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45877-2022</t>
        </is>
      </c>
      <c r="B51" s="1" t="n">
        <v>44846</v>
      </c>
      <c r="C51" s="1" t="n">
        <v>45878</v>
      </c>
      <c r="D51" t="inlineStr">
        <is>
          <t>ÖSTERGÖTLANDS LÄN</t>
        </is>
      </c>
      <c r="E51" t="inlineStr">
        <is>
          <t>BOXHOLM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50463-2022</t>
        </is>
      </c>
      <c r="B52" s="1" t="n">
        <v>44866.48938657407</v>
      </c>
      <c r="C52" s="1" t="n">
        <v>45878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44074-2022</t>
        </is>
      </c>
      <c r="B53" s="1" t="n">
        <v>44839</v>
      </c>
      <c r="C53" s="1" t="n">
        <v>45878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HYPERLINK("https://klasma.github.io/Logging_0560/knärot/A 44074-2022 karta knärot.png", "A 44074-2022")</f>
        <v/>
      </c>
      <c r="V53">
        <f>HYPERLINK("https://klasma.github.io/Logging_0560/klagomål/A 44074-2022 FSC-klagomål.docx", "A 44074-2022")</f>
        <v/>
      </c>
      <c r="W53">
        <f>HYPERLINK("https://klasma.github.io/Logging_0560/klagomålsmail/A 44074-2022 FSC-klagomål mail.docx", "A 44074-2022")</f>
        <v/>
      </c>
      <c r="X53">
        <f>HYPERLINK("https://klasma.github.io/Logging_0560/tillsyn/A 44074-2022 tillsynsbegäran.docx", "A 44074-2022")</f>
        <v/>
      </c>
      <c r="Y53">
        <f>HYPERLINK("https://klasma.github.io/Logging_0560/tillsynsmail/A 44074-2022 tillsynsbegäran mail.docx", "A 44074-2022")</f>
        <v/>
      </c>
    </row>
    <row r="54" ht="15" customHeight="1">
      <c r="A54" t="inlineStr">
        <is>
          <t>A 1925-2022</t>
        </is>
      </c>
      <c r="B54" s="1" t="n">
        <v>44575.42550925926</v>
      </c>
      <c r="C54" s="1" t="n">
        <v>45878</v>
      </c>
      <c r="D54" t="inlineStr">
        <is>
          <t>ÖSTERGÖTLANDS LÄN</t>
        </is>
      </c>
      <c r="E54" t="inlineStr">
        <is>
          <t>BOXHOLM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28309-2022</t>
        </is>
      </c>
      <c r="B55" s="1" t="n">
        <v>44747.35753472222</v>
      </c>
      <c r="C55" s="1" t="n">
        <v>45878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55112-2020</t>
        </is>
      </c>
      <c r="B56" s="1" t="n">
        <v>44130</v>
      </c>
      <c r="C56" s="1" t="n">
        <v>45878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67362-2021</t>
        </is>
      </c>
      <c r="B57" s="1" t="n">
        <v>44523</v>
      </c>
      <c r="C57" s="1" t="n">
        <v>45878</v>
      </c>
      <c r="D57" t="inlineStr">
        <is>
          <t>ÖSTERGÖTLANDS LÄN</t>
        </is>
      </c>
      <c r="E57" t="inlineStr">
        <is>
          <t>BOXHOLM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36281-2022</t>
        </is>
      </c>
      <c r="B58" s="1" t="n">
        <v>44803.62625</v>
      </c>
      <c r="C58" s="1" t="n">
        <v>45878</v>
      </c>
      <c r="D58" t="inlineStr">
        <is>
          <t>ÖSTERGÖTLANDS LÄN</t>
        </is>
      </c>
      <c r="E58" t="inlineStr">
        <is>
          <t>BOXHOLM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42696-2022</t>
        </is>
      </c>
      <c r="B59" s="1" t="n">
        <v>44832.36671296296</v>
      </c>
      <c r="C59" s="1" t="n">
        <v>45878</v>
      </c>
      <c r="D59" t="inlineStr">
        <is>
          <t>ÖSTERGÖTLANDS LÄN</t>
        </is>
      </c>
      <c r="E59" t="inlineStr">
        <is>
          <t>BOXHOLM</t>
        </is>
      </c>
      <c r="F59" t="inlineStr">
        <is>
          <t>Övriga Aktiebolag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43315-2020</t>
        </is>
      </c>
      <c r="B60" s="1" t="n">
        <v>44081</v>
      </c>
      <c r="C60" s="1" t="n">
        <v>45878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41759-2020</t>
        </is>
      </c>
      <c r="B61" s="1" t="n">
        <v>44074</v>
      </c>
      <c r="C61" s="1" t="n">
        <v>45878</v>
      </c>
      <c r="D61" t="inlineStr">
        <is>
          <t>ÖSTERGÖTLANDS LÄN</t>
        </is>
      </c>
      <c r="E61" t="inlineStr">
        <is>
          <t>BOXHOLM</t>
        </is>
      </c>
      <c r="F61" t="inlineStr">
        <is>
          <t>Allmännings- och besparingsskogar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41538-2020</t>
        </is>
      </c>
      <c r="B62" s="1" t="n">
        <v>44074</v>
      </c>
      <c r="C62" s="1" t="n">
        <v>45878</v>
      </c>
      <c r="D62" t="inlineStr">
        <is>
          <t>ÖSTERGÖTLANDS LÄN</t>
        </is>
      </c>
      <c r="E62" t="inlineStr">
        <is>
          <t>BOXHOLM</t>
        </is>
      </c>
      <c r="F62" t="inlineStr">
        <is>
          <t>Allmännings- och besparingsskogar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10390-2021</t>
        </is>
      </c>
      <c r="B63" s="1" t="n">
        <v>44257</v>
      </c>
      <c r="C63" s="1" t="n">
        <v>45878</v>
      </c>
      <c r="D63" t="inlineStr">
        <is>
          <t>ÖSTERGÖTLANDS LÄN</t>
        </is>
      </c>
      <c r="E63" t="inlineStr">
        <is>
          <t>BOXHOLM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51509-2021</t>
        </is>
      </c>
      <c r="B64" s="1" t="n">
        <v>44460</v>
      </c>
      <c r="C64" s="1" t="n">
        <v>45878</v>
      </c>
      <c r="D64" t="inlineStr">
        <is>
          <t>ÖSTERGÖTLANDS LÄN</t>
        </is>
      </c>
      <c r="E64" t="inlineStr">
        <is>
          <t>BOXHOLM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71030-2021</t>
        </is>
      </c>
      <c r="B65" s="1" t="n">
        <v>44538</v>
      </c>
      <c r="C65" s="1" t="n">
        <v>45878</v>
      </c>
      <c r="D65" t="inlineStr">
        <is>
          <t>ÖSTERGÖTLANDS LÄN</t>
        </is>
      </c>
      <c r="E65" t="inlineStr">
        <is>
          <t>BOXHOLM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67371-2021</t>
        </is>
      </c>
      <c r="B66" s="1" t="n">
        <v>44523</v>
      </c>
      <c r="C66" s="1" t="n">
        <v>45878</v>
      </c>
      <c r="D66" t="inlineStr">
        <is>
          <t>ÖSTERGÖTLANDS LÄN</t>
        </is>
      </c>
      <c r="E66" t="inlineStr">
        <is>
          <t>BOXHOLM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41770-2020</t>
        </is>
      </c>
      <c r="B67" s="1" t="n">
        <v>44074</v>
      </c>
      <c r="C67" s="1" t="n">
        <v>45878</v>
      </c>
      <c r="D67" t="inlineStr">
        <is>
          <t>ÖSTERGÖTLANDS LÄN</t>
        </is>
      </c>
      <c r="E67" t="inlineStr">
        <is>
          <t>BOXHOLM</t>
        </is>
      </c>
      <c r="F67" t="inlineStr">
        <is>
          <t>Allmännings- och besparingsskogar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58518-2020</t>
        </is>
      </c>
      <c r="B68" s="1" t="n">
        <v>44145</v>
      </c>
      <c r="C68" s="1" t="n">
        <v>45878</v>
      </c>
      <c r="D68" t="inlineStr">
        <is>
          <t>ÖSTERGÖTLANDS LÄN</t>
        </is>
      </c>
      <c r="E68" t="inlineStr">
        <is>
          <t>BOXHOLM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56794-2021</t>
        </is>
      </c>
      <c r="B69" s="1" t="n">
        <v>44481</v>
      </c>
      <c r="C69" s="1" t="n">
        <v>45878</v>
      </c>
      <c r="D69" t="inlineStr">
        <is>
          <t>ÖSTERGÖTLANDS LÄN</t>
        </is>
      </c>
      <c r="E69" t="inlineStr">
        <is>
          <t>BOXHOLM</t>
        </is>
      </c>
      <c r="F69" t="inlineStr">
        <is>
          <t>Övriga Aktiebolag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6894-2021</t>
        </is>
      </c>
      <c r="B70" s="1" t="n">
        <v>44237</v>
      </c>
      <c r="C70" s="1" t="n">
        <v>45878</v>
      </c>
      <c r="D70" t="inlineStr">
        <is>
          <t>ÖSTERGÖTLANDS LÄN</t>
        </is>
      </c>
      <c r="E70" t="inlineStr">
        <is>
          <t>BOXHOLM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58087-2020</t>
        </is>
      </c>
      <c r="B71" s="1" t="n">
        <v>44144</v>
      </c>
      <c r="C71" s="1" t="n">
        <v>45878</v>
      </c>
      <c r="D71" t="inlineStr">
        <is>
          <t>ÖSTERGÖTLANDS LÄN</t>
        </is>
      </c>
      <c r="E71" t="inlineStr">
        <is>
          <t>BOXHOLM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39608-2020</t>
        </is>
      </c>
      <c r="B72" s="1" t="n">
        <v>44064</v>
      </c>
      <c r="C72" s="1" t="n">
        <v>45878</v>
      </c>
      <c r="D72" t="inlineStr">
        <is>
          <t>ÖSTERGÖTLANDS LÄN</t>
        </is>
      </c>
      <c r="E72" t="inlineStr">
        <is>
          <t>BOXHOLM</t>
        </is>
      </c>
      <c r="F72" t="inlineStr">
        <is>
          <t>Övriga Aktiebolag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47145-2022</t>
        </is>
      </c>
      <c r="B73" s="1" t="n">
        <v>44852</v>
      </c>
      <c r="C73" s="1" t="n">
        <v>45878</v>
      </c>
      <c r="D73" t="inlineStr">
        <is>
          <t>ÖSTERGÖTLANDS LÄN</t>
        </is>
      </c>
      <c r="E73" t="inlineStr">
        <is>
          <t>BOXHOLM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19566-2022</t>
        </is>
      </c>
      <c r="B74" s="1" t="n">
        <v>44693</v>
      </c>
      <c r="C74" s="1" t="n">
        <v>45878</v>
      </c>
      <c r="D74" t="inlineStr">
        <is>
          <t>ÖSTERGÖTLANDS LÄN</t>
        </is>
      </c>
      <c r="E74" t="inlineStr">
        <is>
          <t>BOXHOLM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17880-2021</t>
        </is>
      </c>
      <c r="B75" s="1" t="n">
        <v>44301.38633101852</v>
      </c>
      <c r="C75" s="1" t="n">
        <v>45878</v>
      </c>
      <c r="D75" t="inlineStr">
        <is>
          <t>ÖSTERGÖTLANDS LÄN</t>
        </is>
      </c>
      <c r="E75" t="inlineStr">
        <is>
          <t>BOXHOLM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72287-2021</t>
        </is>
      </c>
      <c r="B76" s="1" t="n">
        <v>44545.37116898148</v>
      </c>
      <c r="C76" s="1" t="n">
        <v>45878</v>
      </c>
      <c r="D76" t="inlineStr">
        <is>
          <t>ÖSTERGÖTLANDS LÄN</t>
        </is>
      </c>
      <c r="E76" t="inlineStr">
        <is>
          <t>BOXHOLM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14148-2025</t>
        </is>
      </c>
      <c r="B77" s="1" t="n">
        <v>45740.49010416667</v>
      </c>
      <c r="C77" s="1" t="n">
        <v>45878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44823-2023</t>
        </is>
      </c>
      <c r="B78" s="1" t="n">
        <v>45190</v>
      </c>
      <c r="C78" s="1" t="n">
        <v>45878</v>
      </c>
      <c r="D78" t="inlineStr">
        <is>
          <t>ÖSTERGÖTLANDS LÄN</t>
        </is>
      </c>
      <c r="E78" t="inlineStr">
        <is>
          <t>BOXHOLM</t>
        </is>
      </c>
      <c r="F78" t="inlineStr">
        <is>
          <t>Allmännings- och besparingsskogar</t>
        </is>
      </c>
      <c r="G78" t="n">
        <v>8.4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14423-2021</t>
        </is>
      </c>
      <c r="B79" s="1" t="n">
        <v>44279</v>
      </c>
      <c r="C79" s="1" t="n">
        <v>45878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24847-2022</t>
        </is>
      </c>
      <c r="B80" s="1" t="n">
        <v>44728.47261574074</v>
      </c>
      <c r="C80" s="1" t="n">
        <v>45878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15500-2025</t>
        </is>
      </c>
      <c r="B81" s="1" t="n">
        <v>45747.58354166667</v>
      </c>
      <c r="C81" s="1" t="n">
        <v>45878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58472-2021</t>
        </is>
      </c>
      <c r="B82" s="1" t="n">
        <v>44488.59386574074</v>
      </c>
      <c r="C82" s="1" t="n">
        <v>45878</v>
      </c>
      <c r="D82" t="inlineStr">
        <is>
          <t>ÖSTERGÖTLANDS LÄN</t>
        </is>
      </c>
      <c r="E82" t="inlineStr">
        <is>
          <t>BOXHOLM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2273-2025</t>
        </is>
      </c>
      <c r="B83" s="1" t="n">
        <v>45673</v>
      </c>
      <c r="C83" s="1" t="n">
        <v>45878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48322-2022</t>
        </is>
      </c>
      <c r="B84" s="1" t="n">
        <v>44858.5522337963</v>
      </c>
      <c r="C84" s="1" t="n">
        <v>45878</v>
      </c>
      <c r="D84" t="inlineStr">
        <is>
          <t>ÖSTERGÖTLANDS LÄN</t>
        </is>
      </c>
      <c r="E84" t="inlineStr">
        <is>
          <t>BOXHOLM</t>
        </is>
      </c>
      <c r="F84" t="inlineStr">
        <is>
          <t>Allmännings- och besparingsskogar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58988-2024</t>
        </is>
      </c>
      <c r="B85" s="1" t="n">
        <v>45636.63369212963</v>
      </c>
      <c r="C85" s="1" t="n">
        <v>45878</v>
      </c>
      <c r="D85" t="inlineStr">
        <is>
          <t>ÖSTERGÖTLANDS LÄN</t>
        </is>
      </c>
      <c r="E85" t="inlineStr">
        <is>
          <t>BOXHOLM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19365-2025</t>
        </is>
      </c>
      <c r="B86" s="1" t="n">
        <v>45769.63548611111</v>
      </c>
      <c r="C86" s="1" t="n">
        <v>45878</v>
      </c>
      <c r="D86" t="inlineStr">
        <is>
          <t>ÖSTERGÖTLANDS LÄN</t>
        </is>
      </c>
      <c r="E86" t="inlineStr">
        <is>
          <t>BOXHOLM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9361-2025</t>
        </is>
      </c>
      <c r="B87" s="1" t="n">
        <v>45715.30601851852</v>
      </c>
      <c r="C87" s="1" t="n">
        <v>45878</v>
      </c>
      <c r="D87" t="inlineStr">
        <is>
          <t>ÖSTERGÖTLANDS LÄN</t>
        </is>
      </c>
      <c r="E87" t="inlineStr">
        <is>
          <t>BOXHOLM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22856-2023</t>
        </is>
      </c>
      <c r="B88" s="1" t="n">
        <v>45072.47387731481</v>
      </c>
      <c r="C88" s="1" t="n">
        <v>45878</v>
      </c>
      <c r="D88" t="inlineStr">
        <is>
          <t>ÖSTERGÖTLANDS LÄN</t>
        </is>
      </c>
      <c r="E88" t="inlineStr">
        <is>
          <t>BOXHOLM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36887-2020</t>
        </is>
      </c>
      <c r="B89" s="1" t="n">
        <v>44053</v>
      </c>
      <c r="C89" s="1" t="n">
        <v>45878</v>
      </c>
      <c r="D89" t="inlineStr">
        <is>
          <t>ÖSTERGÖTLANDS LÄN</t>
        </is>
      </c>
      <c r="E89" t="inlineStr">
        <is>
          <t>BOXHOLM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12203-2025</t>
        </is>
      </c>
      <c r="B90" s="1" t="n">
        <v>45729.49674768518</v>
      </c>
      <c r="C90" s="1" t="n">
        <v>45878</v>
      </c>
      <c r="D90" t="inlineStr">
        <is>
          <t>ÖSTERGÖTLANDS LÄN</t>
        </is>
      </c>
      <c r="E90" t="inlineStr">
        <is>
          <t>BOXHOLM</t>
        </is>
      </c>
      <c r="F90" t="inlineStr">
        <is>
          <t>Allmännings- och besparingsskogar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21634-2023</t>
        </is>
      </c>
      <c r="B91" s="1" t="n">
        <v>45062</v>
      </c>
      <c r="C91" s="1" t="n">
        <v>45878</v>
      </c>
      <c r="D91" t="inlineStr">
        <is>
          <t>ÖSTERGÖTLANDS LÄN</t>
        </is>
      </c>
      <c r="E91" t="inlineStr">
        <is>
          <t>BOXHOLM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25230-2023</t>
        </is>
      </c>
      <c r="B92" s="1" t="n">
        <v>45086.62486111111</v>
      </c>
      <c r="C92" s="1" t="n">
        <v>45878</v>
      </c>
      <c r="D92" t="inlineStr">
        <is>
          <t>ÖSTERGÖTLANDS LÄN</t>
        </is>
      </c>
      <c r="E92" t="inlineStr">
        <is>
          <t>BOXHOLM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52691-2020</t>
        </is>
      </c>
      <c r="B93" s="1" t="n">
        <v>44117</v>
      </c>
      <c r="C93" s="1" t="n">
        <v>45878</v>
      </c>
      <c r="D93" t="inlineStr">
        <is>
          <t>ÖSTERGÖTLANDS LÄN</t>
        </is>
      </c>
      <c r="E93" t="inlineStr">
        <is>
          <t>BOXHOLM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49089-2023</t>
        </is>
      </c>
      <c r="B94" s="1" t="n">
        <v>45210</v>
      </c>
      <c r="C94" s="1" t="n">
        <v>45878</v>
      </c>
      <c r="D94" t="inlineStr">
        <is>
          <t>ÖSTERGÖTLANDS LÄN</t>
        </is>
      </c>
      <c r="E94" t="inlineStr">
        <is>
          <t>BOXHOLM</t>
        </is>
      </c>
      <c r="G94" t="n">
        <v>11.2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48859-2024</t>
        </is>
      </c>
      <c r="B95" s="1" t="n">
        <v>45593.90010416666</v>
      </c>
      <c r="C95" s="1" t="n">
        <v>45878</v>
      </c>
      <c r="D95" t="inlineStr">
        <is>
          <t>ÖSTERGÖTLANDS LÄN</t>
        </is>
      </c>
      <c r="E95" t="inlineStr">
        <is>
          <t>BOXHOLM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54934-2022</t>
        </is>
      </c>
      <c r="B96" s="1" t="n">
        <v>44886.44074074074</v>
      </c>
      <c r="C96" s="1" t="n">
        <v>45878</v>
      </c>
      <c r="D96" t="inlineStr">
        <is>
          <t>ÖSTERGÖTLANDS LÄN</t>
        </is>
      </c>
      <c r="E96" t="inlineStr">
        <is>
          <t>BOXHOLM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13619-2025</t>
        </is>
      </c>
      <c r="B97" s="1" t="n">
        <v>45736.63283564815</v>
      </c>
      <c r="C97" s="1" t="n">
        <v>45878</v>
      </c>
      <c r="D97" t="inlineStr">
        <is>
          <t>ÖSTERGÖTLANDS LÄN</t>
        </is>
      </c>
      <c r="E97" t="inlineStr">
        <is>
          <t>BOXHOLM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11401-2024</t>
        </is>
      </c>
      <c r="B98" s="1" t="n">
        <v>45372.46034722222</v>
      </c>
      <c r="C98" s="1" t="n">
        <v>45878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9117-2023</t>
        </is>
      </c>
      <c r="B99" s="1" t="n">
        <v>44980.25599537037</v>
      </c>
      <c r="C99" s="1" t="n">
        <v>45878</v>
      </c>
      <c r="D99" t="inlineStr">
        <is>
          <t>ÖSTERGÖTLANDS LÄN</t>
        </is>
      </c>
      <c r="E99" t="inlineStr">
        <is>
          <t>BOXHOLM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38107-2021</t>
        </is>
      </c>
      <c r="B100" s="1" t="n">
        <v>44405</v>
      </c>
      <c r="C100" s="1" t="n">
        <v>45878</v>
      </c>
      <c r="D100" t="inlineStr">
        <is>
          <t>ÖSTERGÖTLANDS LÄN</t>
        </is>
      </c>
      <c r="E100" t="inlineStr">
        <is>
          <t>BOXHOLM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31673-2023</t>
        </is>
      </c>
      <c r="B101" s="1" t="n">
        <v>45117.66069444444</v>
      </c>
      <c r="C101" s="1" t="n">
        <v>45878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Övriga Aktiebolag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19561-2024</t>
        </is>
      </c>
      <c r="B102" s="1" t="n">
        <v>45429.84030092593</v>
      </c>
      <c r="C102" s="1" t="n">
        <v>45878</v>
      </c>
      <c r="D102" t="inlineStr">
        <is>
          <t>ÖSTERGÖTLANDS LÄN</t>
        </is>
      </c>
      <c r="E102" t="inlineStr">
        <is>
          <t>BOXHOLM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52964-2023</t>
        </is>
      </c>
      <c r="B103" s="1" t="n">
        <v>45226.59262731481</v>
      </c>
      <c r="C103" s="1" t="n">
        <v>45878</v>
      </c>
      <c r="D103" t="inlineStr">
        <is>
          <t>ÖSTERGÖTLANDS LÄN</t>
        </is>
      </c>
      <c r="E103" t="inlineStr">
        <is>
          <t>BOXHOLM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40290-2024</t>
        </is>
      </c>
      <c r="B104" s="1" t="n">
        <v>45554.68709490741</v>
      </c>
      <c r="C104" s="1" t="n">
        <v>45878</v>
      </c>
      <c r="D104" t="inlineStr">
        <is>
          <t>ÖSTERGÖTLANDS LÄN</t>
        </is>
      </c>
      <c r="E104" t="inlineStr">
        <is>
          <t>BOXHOLM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10331-2024</t>
        </is>
      </c>
      <c r="B105" s="1" t="n">
        <v>45365.56921296296</v>
      </c>
      <c r="C105" s="1" t="n">
        <v>45878</v>
      </c>
      <c r="D105" t="inlineStr">
        <is>
          <t>ÖSTERGÖTLANDS LÄN</t>
        </is>
      </c>
      <c r="E105" t="inlineStr">
        <is>
          <t>BOXHOLM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13606-2024</t>
        </is>
      </c>
      <c r="B106" s="1" t="n">
        <v>45390.3405324074</v>
      </c>
      <c r="C106" s="1" t="n">
        <v>45878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15516-2025</t>
        </is>
      </c>
      <c r="B107" s="1" t="n">
        <v>45747.61622685185</v>
      </c>
      <c r="C107" s="1" t="n">
        <v>45878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51449-2023</t>
        </is>
      </c>
      <c r="B108" s="1" t="n">
        <v>45220.66263888889</v>
      </c>
      <c r="C108" s="1" t="n">
        <v>45878</v>
      </c>
      <c r="D108" t="inlineStr">
        <is>
          <t>ÖSTERGÖTLANDS LÄN</t>
        </is>
      </c>
      <c r="E108" t="inlineStr">
        <is>
          <t>BOXHOLM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55254-2022</t>
        </is>
      </c>
      <c r="B109" s="1" t="n">
        <v>44887.31924768518</v>
      </c>
      <c r="C109" s="1" t="n">
        <v>45878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933-2024</t>
        </is>
      </c>
      <c r="B110" s="1" t="n">
        <v>45301.51200231481</v>
      </c>
      <c r="C110" s="1" t="n">
        <v>45878</v>
      </c>
      <c r="D110" t="inlineStr">
        <is>
          <t>ÖSTERGÖTLANDS LÄN</t>
        </is>
      </c>
      <c r="E110" t="inlineStr">
        <is>
          <t>BOXHOLM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51545-2023</t>
        </is>
      </c>
      <c r="B111" s="1" t="n">
        <v>45222.4180787037</v>
      </c>
      <c r="C111" s="1" t="n">
        <v>45878</v>
      </c>
      <c r="D111" t="inlineStr">
        <is>
          <t>ÖSTERGÖTLANDS LÄN</t>
        </is>
      </c>
      <c r="E111" t="inlineStr">
        <is>
          <t>BOXHOLM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15420-2025</t>
        </is>
      </c>
      <c r="B112" s="1" t="n">
        <v>45747.46194444445</v>
      </c>
      <c r="C112" s="1" t="n">
        <v>45878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51558-2023</t>
        </is>
      </c>
      <c r="B113" s="1" t="n">
        <v>45222.43846064815</v>
      </c>
      <c r="C113" s="1" t="n">
        <v>45878</v>
      </c>
      <c r="D113" t="inlineStr">
        <is>
          <t>ÖSTERGÖTLANDS LÄN</t>
        </is>
      </c>
      <c r="E113" t="inlineStr">
        <is>
          <t>BOXHOLM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6209-2024</t>
        </is>
      </c>
      <c r="B114" s="1" t="n">
        <v>45337.60327546296</v>
      </c>
      <c r="C114" s="1" t="n">
        <v>45878</v>
      </c>
      <c r="D114" t="inlineStr">
        <is>
          <t>ÖSTERGÖTLANDS LÄN</t>
        </is>
      </c>
      <c r="E114" t="inlineStr">
        <is>
          <t>BOXHOLM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43471-2022</t>
        </is>
      </c>
      <c r="B115" s="1" t="n">
        <v>44836</v>
      </c>
      <c r="C115" s="1" t="n">
        <v>45878</v>
      </c>
      <c r="D115" t="inlineStr">
        <is>
          <t>ÖSTERGÖTLANDS LÄN</t>
        </is>
      </c>
      <c r="E115" t="inlineStr">
        <is>
          <t>BOXHOLM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59125-2022</t>
        </is>
      </c>
      <c r="B116" s="1" t="n">
        <v>44904</v>
      </c>
      <c r="C116" s="1" t="n">
        <v>45878</v>
      </c>
      <c r="D116" t="inlineStr">
        <is>
          <t>ÖSTERGÖTLANDS LÄN</t>
        </is>
      </c>
      <c r="E116" t="inlineStr">
        <is>
          <t>BOXHOLM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25944-2024</t>
        </is>
      </c>
      <c r="B117" s="1" t="n">
        <v>45467.63711805556</v>
      </c>
      <c r="C117" s="1" t="n">
        <v>45878</v>
      </c>
      <c r="D117" t="inlineStr">
        <is>
          <t>ÖSTERGÖTLANDS LÄN</t>
        </is>
      </c>
      <c r="E117" t="inlineStr">
        <is>
          <t>BOXHOLM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26638-2023</t>
        </is>
      </c>
      <c r="B118" s="1" t="n">
        <v>45092</v>
      </c>
      <c r="C118" s="1" t="n">
        <v>45878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Allmännings- och besparingsskogar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32089-2024</t>
        </is>
      </c>
      <c r="B119" s="1" t="n">
        <v>45511</v>
      </c>
      <c r="C119" s="1" t="n">
        <v>45878</v>
      </c>
      <c r="D119" t="inlineStr">
        <is>
          <t>ÖSTERGÖTLANDS LÄN</t>
        </is>
      </c>
      <c r="E119" t="inlineStr">
        <is>
          <t>BOXHOLM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60790-2023</t>
        </is>
      </c>
      <c r="B120" s="1" t="n">
        <v>45259</v>
      </c>
      <c r="C120" s="1" t="n">
        <v>45878</v>
      </c>
      <c r="D120" t="inlineStr">
        <is>
          <t>ÖSTERGÖTLANDS LÄN</t>
        </is>
      </c>
      <c r="E120" t="inlineStr">
        <is>
          <t>BOXHOLM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39028-2023</t>
        </is>
      </c>
      <c r="B121" s="1" t="n">
        <v>45163</v>
      </c>
      <c r="C121" s="1" t="n">
        <v>45878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Allmännings- och besparingsskogar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60797-2023</t>
        </is>
      </c>
      <c r="B122" s="1" t="n">
        <v>45259</v>
      </c>
      <c r="C122" s="1" t="n">
        <v>45878</v>
      </c>
      <c r="D122" t="inlineStr">
        <is>
          <t>ÖSTERGÖTLANDS LÄN</t>
        </is>
      </c>
      <c r="E122" t="inlineStr">
        <is>
          <t>BOXHOLM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27647-2023</t>
        </is>
      </c>
      <c r="B123" s="1" t="n">
        <v>45097.68216435185</v>
      </c>
      <c r="C123" s="1" t="n">
        <v>45878</v>
      </c>
      <c r="D123" t="inlineStr">
        <is>
          <t>ÖSTERGÖTLANDS LÄN</t>
        </is>
      </c>
      <c r="E123" t="inlineStr">
        <is>
          <t>BOXHOLM</t>
        </is>
      </c>
      <c r="F123" t="inlineStr">
        <is>
          <t>Allmännings- och besparingsskogar</t>
        </is>
      </c>
      <c r="G123" t="n">
        <v>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72283-2021</t>
        </is>
      </c>
      <c r="B124" s="1" t="n">
        <v>44545.36866898148</v>
      </c>
      <c r="C124" s="1" t="n">
        <v>45878</v>
      </c>
      <c r="D124" t="inlineStr">
        <is>
          <t>ÖSTERGÖTLANDS LÄN</t>
        </is>
      </c>
      <c r="E124" t="inlineStr">
        <is>
          <t>BOXHOLM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60210-2023</t>
        </is>
      </c>
      <c r="B125" s="1" t="n">
        <v>45258.60165509259</v>
      </c>
      <c r="C125" s="1" t="n">
        <v>45878</v>
      </c>
      <c r="D125" t="inlineStr">
        <is>
          <t>ÖSTERGÖTLANDS LÄN</t>
        </is>
      </c>
      <c r="E125" t="inlineStr">
        <is>
          <t>BOXHOLM</t>
        </is>
      </c>
      <c r="F125" t="inlineStr">
        <is>
          <t>Övriga Aktiebolag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48560-2022</t>
        </is>
      </c>
      <c r="B126" s="1" t="n">
        <v>44859</v>
      </c>
      <c r="C126" s="1" t="n">
        <v>45878</v>
      </c>
      <c r="D126" t="inlineStr">
        <is>
          <t>ÖSTERGÖTLANDS LÄN</t>
        </is>
      </c>
      <c r="E126" t="inlineStr">
        <is>
          <t>BOXHOLM</t>
        </is>
      </c>
      <c r="F126" t="inlineStr">
        <is>
          <t>Övriga Aktiebolag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44036-2020</t>
        </is>
      </c>
      <c r="B127" s="1" t="n">
        <v>44083</v>
      </c>
      <c r="C127" s="1" t="n">
        <v>45878</v>
      </c>
      <c r="D127" t="inlineStr">
        <is>
          <t>ÖSTERGÖTLANDS LÄN</t>
        </is>
      </c>
      <c r="E127" t="inlineStr">
        <is>
          <t>BOXHOLM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17679-2025</t>
        </is>
      </c>
      <c r="B128" s="1" t="n">
        <v>45758.37665509259</v>
      </c>
      <c r="C128" s="1" t="n">
        <v>45878</v>
      </c>
      <c r="D128" t="inlineStr">
        <is>
          <t>ÖSTERGÖTLANDS LÄN</t>
        </is>
      </c>
      <c r="E128" t="inlineStr">
        <is>
          <t>BOXHOLM</t>
        </is>
      </c>
      <c r="F128" t="inlineStr">
        <is>
          <t>Övriga Aktiebolag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19601-2023</t>
        </is>
      </c>
      <c r="B129" s="1" t="n">
        <v>45050.91261574074</v>
      </c>
      <c r="C129" s="1" t="n">
        <v>45878</v>
      </c>
      <c r="D129" t="inlineStr">
        <is>
          <t>ÖSTERGÖTLANDS LÄN</t>
        </is>
      </c>
      <c r="E129" t="inlineStr">
        <is>
          <t>BOXHOLM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15746-2023</t>
        </is>
      </c>
      <c r="B130" s="1" t="n">
        <v>45021.61027777778</v>
      </c>
      <c r="C130" s="1" t="n">
        <v>45878</v>
      </c>
      <c r="D130" t="inlineStr">
        <is>
          <t>ÖSTERGÖTLANDS LÄN</t>
        </is>
      </c>
      <c r="E130" t="inlineStr">
        <is>
          <t>BOXHOLM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30210-2024</t>
        </is>
      </c>
      <c r="B131" s="1" t="n">
        <v>45490.39458333333</v>
      </c>
      <c r="C131" s="1" t="n">
        <v>45878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23857-2023</t>
        </is>
      </c>
      <c r="B132" s="1" t="n">
        <v>45078.47771990741</v>
      </c>
      <c r="C132" s="1" t="n">
        <v>45878</v>
      </c>
      <c r="D132" t="inlineStr">
        <is>
          <t>ÖSTERGÖTLANDS LÄN</t>
        </is>
      </c>
      <c r="E132" t="inlineStr">
        <is>
          <t>BOXHOLM</t>
        </is>
      </c>
      <c r="F132" t="inlineStr">
        <is>
          <t>Övriga Aktiebolag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74111-2021</t>
        </is>
      </c>
      <c r="B133" s="1" t="n">
        <v>44557</v>
      </c>
      <c r="C133" s="1" t="n">
        <v>45878</v>
      </c>
      <c r="D133" t="inlineStr">
        <is>
          <t>ÖSTERGÖTLANDS LÄN</t>
        </is>
      </c>
      <c r="E133" t="inlineStr">
        <is>
          <t>BOXHOLM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74128-2021</t>
        </is>
      </c>
      <c r="B134" s="1" t="n">
        <v>44557</v>
      </c>
      <c r="C134" s="1" t="n">
        <v>45878</v>
      </c>
      <c r="D134" t="inlineStr">
        <is>
          <t>ÖSTERGÖTLANDS LÄN</t>
        </is>
      </c>
      <c r="E134" t="inlineStr">
        <is>
          <t>BOXHOLM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14628-2023</t>
        </is>
      </c>
      <c r="B135" s="1" t="n">
        <v>45013.66702546296</v>
      </c>
      <c r="C135" s="1" t="n">
        <v>45878</v>
      </c>
      <c r="D135" t="inlineStr">
        <is>
          <t>ÖSTERGÖTLANDS LÄN</t>
        </is>
      </c>
      <c r="E135" t="inlineStr">
        <is>
          <t>BOXHOLM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49990-2021</t>
        </is>
      </c>
      <c r="B136" s="1" t="n">
        <v>44456</v>
      </c>
      <c r="C136" s="1" t="n">
        <v>45878</v>
      </c>
      <c r="D136" t="inlineStr">
        <is>
          <t>ÖSTERGÖTLANDS LÄN</t>
        </is>
      </c>
      <c r="E136" t="inlineStr">
        <is>
          <t>BOXHOLM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45723-2024</t>
        </is>
      </c>
      <c r="B137" s="1" t="n">
        <v>45579.59450231482</v>
      </c>
      <c r="C137" s="1" t="n">
        <v>45878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25254-2023</t>
        </is>
      </c>
      <c r="B138" s="1" t="n">
        <v>45086.65193287037</v>
      </c>
      <c r="C138" s="1" t="n">
        <v>45878</v>
      </c>
      <c r="D138" t="inlineStr">
        <is>
          <t>ÖSTERGÖTLANDS LÄN</t>
        </is>
      </c>
      <c r="E138" t="inlineStr">
        <is>
          <t>BOXHOLM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19560-2024</t>
        </is>
      </c>
      <c r="B139" s="1" t="n">
        <v>45429.83706018519</v>
      </c>
      <c r="C139" s="1" t="n">
        <v>45878</v>
      </c>
      <c r="D139" t="inlineStr">
        <is>
          <t>ÖSTERGÖTLANDS LÄN</t>
        </is>
      </c>
      <c r="E139" t="inlineStr">
        <is>
          <t>BOXHOLM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65333-2021</t>
        </is>
      </c>
      <c r="B140" s="1" t="n">
        <v>44515</v>
      </c>
      <c r="C140" s="1" t="n">
        <v>45878</v>
      </c>
      <c r="D140" t="inlineStr">
        <is>
          <t>ÖSTERGÖTLANDS LÄN</t>
        </is>
      </c>
      <c r="E140" t="inlineStr">
        <is>
          <t>BOXHOLM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15504-2023</t>
        </is>
      </c>
      <c r="B141" s="1" t="n">
        <v>45020.49516203703</v>
      </c>
      <c r="C141" s="1" t="n">
        <v>45878</v>
      </c>
      <c r="D141" t="inlineStr">
        <is>
          <t>ÖSTERGÖTLANDS LÄN</t>
        </is>
      </c>
      <c r="E141" t="inlineStr">
        <is>
          <t>BOXHOLM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53342-2024</t>
        </is>
      </c>
      <c r="B142" s="1" t="n">
        <v>45614.43695601852</v>
      </c>
      <c r="C142" s="1" t="n">
        <v>45878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Övriga Aktiebolag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29396-2023</t>
        </is>
      </c>
      <c r="B143" s="1" t="n">
        <v>45106.43715277778</v>
      </c>
      <c r="C143" s="1" t="n">
        <v>45878</v>
      </c>
      <c r="D143" t="inlineStr">
        <is>
          <t>ÖSTERGÖTLANDS LÄN</t>
        </is>
      </c>
      <c r="E143" t="inlineStr">
        <is>
          <t>BOXHOLM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7061-2024</t>
        </is>
      </c>
      <c r="B144" s="1" t="n">
        <v>45343</v>
      </c>
      <c r="C144" s="1" t="n">
        <v>45878</v>
      </c>
      <c r="D144" t="inlineStr">
        <is>
          <t>ÖSTERGÖTLANDS LÄN</t>
        </is>
      </c>
      <c r="E144" t="inlineStr">
        <is>
          <t>BOXHOLM</t>
        </is>
      </c>
      <c r="F144" t="inlineStr">
        <is>
          <t>Allmännings- och besparingsskogar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17872-2025</t>
        </is>
      </c>
      <c r="B145" s="1" t="n">
        <v>45758.64047453704</v>
      </c>
      <c r="C145" s="1" t="n">
        <v>45878</v>
      </c>
      <c r="D145" t="inlineStr">
        <is>
          <t>ÖSTERGÖTLANDS LÄN</t>
        </is>
      </c>
      <c r="E145" t="inlineStr">
        <is>
          <t>BOXHOLM</t>
        </is>
      </c>
      <c r="F145" t="inlineStr">
        <is>
          <t>Övriga Aktiebolag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5824-2024</t>
        </is>
      </c>
      <c r="B146" s="1" t="n">
        <v>45335</v>
      </c>
      <c r="C146" s="1" t="n">
        <v>45878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Allmännings- och besparingsskogar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48373-2022</t>
        </is>
      </c>
      <c r="B147" s="1" t="n">
        <v>44858</v>
      </c>
      <c r="C147" s="1" t="n">
        <v>45878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Övriga Aktiebolag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956-2024</t>
        </is>
      </c>
      <c r="B148" s="1" t="n">
        <v>45301.57123842592</v>
      </c>
      <c r="C148" s="1" t="n">
        <v>45878</v>
      </c>
      <c r="D148" t="inlineStr">
        <is>
          <t>ÖSTERGÖTLANDS LÄN</t>
        </is>
      </c>
      <c r="E148" t="inlineStr">
        <is>
          <t>BOXHOLM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960-2024</t>
        </is>
      </c>
      <c r="B149" s="1" t="n">
        <v>45301.57719907408</v>
      </c>
      <c r="C149" s="1" t="n">
        <v>45878</v>
      </c>
      <c r="D149" t="inlineStr">
        <is>
          <t>ÖSTERGÖTLANDS LÄN</t>
        </is>
      </c>
      <c r="E149" t="inlineStr">
        <is>
          <t>BOXHOLM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44373-2020</t>
        </is>
      </c>
      <c r="B150" s="1" t="n">
        <v>44084</v>
      </c>
      <c r="C150" s="1" t="n">
        <v>45878</v>
      </c>
      <c r="D150" t="inlineStr">
        <is>
          <t>ÖSTERGÖTLANDS LÄN</t>
        </is>
      </c>
      <c r="E150" t="inlineStr">
        <is>
          <t>BOXHOLM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9115-2023</t>
        </is>
      </c>
      <c r="B151" s="1" t="n">
        <v>44980</v>
      </c>
      <c r="C151" s="1" t="n">
        <v>45878</v>
      </c>
      <c r="D151" t="inlineStr">
        <is>
          <t>ÖSTERGÖTLANDS LÄN</t>
        </is>
      </c>
      <c r="E151" t="inlineStr">
        <is>
          <t>BOXHOLM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47333-2024</t>
        </is>
      </c>
      <c r="B152" s="1" t="n">
        <v>45587.39556712963</v>
      </c>
      <c r="C152" s="1" t="n">
        <v>45878</v>
      </c>
      <c r="D152" t="inlineStr">
        <is>
          <t>ÖSTERGÖTLANDS LÄN</t>
        </is>
      </c>
      <c r="E152" t="inlineStr">
        <is>
          <t>BOXHOLM</t>
        </is>
      </c>
      <c r="F152" t="inlineStr">
        <is>
          <t>Allmännings- och besparingsskogar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40294-2024</t>
        </is>
      </c>
      <c r="B153" s="1" t="n">
        <v>45554.69435185185</v>
      </c>
      <c r="C153" s="1" t="n">
        <v>45878</v>
      </c>
      <c r="D153" t="inlineStr">
        <is>
          <t>ÖSTERGÖTLANDS LÄN</t>
        </is>
      </c>
      <c r="E153" t="inlineStr">
        <is>
          <t>BOXHOLM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60867-2022</t>
        </is>
      </c>
      <c r="B154" s="1" t="n">
        <v>44914</v>
      </c>
      <c r="C154" s="1" t="n">
        <v>45878</v>
      </c>
      <c r="D154" t="inlineStr">
        <is>
          <t>ÖSTERGÖTLANDS LÄN</t>
        </is>
      </c>
      <c r="E154" t="inlineStr">
        <is>
          <t>BOXHOLM</t>
        </is>
      </c>
      <c r="F154" t="inlineStr">
        <is>
          <t>Övriga Aktiebolag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43936-2024</t>
        </is>
      </c>
      <c r="B155" s="1" t="n">
        <v>45572.46131944445</v>
      </c>
      <c r="C155" s="1" t="n">
        <v>45878</v>
      </c>
      <c r="D155" t="inlineStr">
        <is>
          <t>ÖSTERGÖTLANDS LÄN</t>
        </is>
      </c>
      <c r="E155" t="inlineStr">
        <is>
          <t>BOXHOLM</t>
        </is>
      </c>
      <c r="F155" t="inlineStr">
        <is>
          <t>Allmännings- och besparingsskogar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55767-2020</t>
        </is>
      </c>
      <c r="B156" s="1" t="n">
        <v>44132</v>
      </c>
      <c r="C156" s="1" t="n">
        <v>45878</v>
      </c>
      <c r="D156" t="inlineStr">
        <is>
          <t>ÖSTERGÖTLANDS LÄN</t>
        </is>
      </c>
      <c r="E156" t="inlineStr">
        <is>
          <t>BOXHOLM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21433-2025</t>
        </is>
      </c>
      <c r="B157" s="1" t="n">
        <v>45782.51542824074</v>
      </c>
      <c r="C157" s="1" t="n">
        <v>45878</v>
      </c>
      <c r="D157" t="inlineStr">
        <is>
          <t>ÖSTERGÖTLANDS LÄN</t>
        </is>
      </c>
      <c r="E157" t="inlineStr">
        <is>
          <t>BOXHOLM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21436-2025</t>
        </is>
      </c>
      <c r="B158" s="1" t="n">
        <v>45782.51927083333</v>
      </c>
      <c r="C158" s="1" t="n">
        <v>45878</v>
      </c>
      <c r="D158" t="inlineStr">
        <is>
          <t>ÖSTERGÖTLANDS LÄN</t>
        </is>
      </c>
      <c r="E158" t="inlineStr">
        <is>
          <t>BOXHOLM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35345-2023</t>
        </is>
      </c>
      <c r="B159" s="1" t="n">
        <v>45146.48567129629</v>
      </c>
      <c r="C159" s="1" t="n">
        <v>45878</v>
      </c>
      <c r="D159" t="inlineStr">
        <is>
          <t>ÖSTERGÖTLANDS LÄN</t>
        </is>
      </c>
      <c r="E159" t="inlineStr">
        <is>
          <t>BOXHOLM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21385-2025</t>
        </is>
      </c>
      <c r="B160" s="1" t="n">
        <v>45782.46883101852</v>
      </c>
      <c r="C160" s="1" t="n">
        <v>45878</v>
      </c>
      <c r="D160" t="inlineStr">
        <is>
          <t>ÖSTERGÖTLANDS LÄN</t>
        </is>
      </c>
      <c r="E160" t="inlineStr">
        <is>
          <t>BOXHOLM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21422-2025</t>
        </is>
      </c>
      <c r="B161" s="1" t="n">
        <v>45782.50346064815</v>
      </c>
      <c r="C161" s="1" t="n">
        <v>45878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21426-2025</t>
        </is>
      </c>
      <c r="B162" s="1" t="n">
        <v>45782.50802083333</v>
      </c>
      <c r="C162" s="1" t="n">
        <v>45878</v>
      </c>
      <c r="D162" t="inlineStr">
        <is>
          <t>ÖSTERGÖTLANDS LÄN</t>
        </is>
      </c>
      <c r="E162" t="inlineStr">
        <is>
          <t>BOXHOLM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35648-2023</t>
        </is>
      </c>
      <c r="B163" s="1" t="n">
        <v>45147</v>
      </c>
      <c r="C163" s="1" t="n">
        <v>45878</v>
      </c>
      <c r="D163" t="inlineStr">
        <is>
          <t>ÖSTERGÖTLANDS LÄN</t>
        </is>
      </c>
      <c r="E163" t="inlineStr">
        <is>
          <t>BOXHOLM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59779-2022</t>
        </is>
      </c>
      <c r="B164" s="1" t="n">
        <v>44908.53690972222</v>
      </c>
      <c r="C164" s="1" t="n">
        <v>45878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36453-2024</t>
        </is>
      </c>
      <c r="B165" s="1" t="n">
        <v>45537.33893518519</v>
      </c>
      <c r="C165" s="1" t="n">
        <v>45878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35655-2024</t>
        </is>
      </c>
      <c r="B166" s="1" t="n">
        <v>45532.35864583333</v>
      </c>
      <c r="C166" s="1" t="n">
        <v>45878</v>
      </c>
      <c r="D166" t="inlineStr">
        <is>
          <t>ÖSTERGÖTLANDS LÄN</t>
        </is>
      </c>
      <c r="E166" t="inlineStr">
        <is>
          <t>BOXHOLM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1539-2025</t>
        </is>
      </c>
      <c r="B167" s="1" t="n">
        <v>45670.49219907408</v>
      </c>
      <c r="C167" s="1" t="n">
        <v>45878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6884-2024</t>
        </is>
      </c>
      <c r="B168" s="1" t="n">
        <v>45342</v>
      </c>
      <c r="C168" s="1" t="n">
        <v>45878</v>
      </c>
      <c r="D168" t="inlineStr">
        <is>
          <t>ÖSTERGÖTLANDS LÄN</t>
        </is>
      </c>
      <c r="E168" t="inlineStr">
        <is>
          <t>BOXHOLM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56792-2020</t>
        </is>
      </c>
      <c r="B169" s="1" t="n">
        <v>44138</v>
      </c>
      <c r="C169" s="1" t="n">
        <v>45878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37400-2023</t>
        </is>
      </c>
      <c r="B170" s="1" t="n">
        <v>45156</v>
      </c>
      <c r="C170" s="1" t="n">
        <v>45878</v>
      </c>
      <c r="D170" t="inlineStr">
        <is>
          <t>ÖSTERGÖTLANDS LÄN</t>
        </is>
      </c>
      <c r="E170" t="inlineStr">
        <is>
          <t>BOXHOLM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19356-2022</t>
        </is>
      </c>
      <c r="B171" s="1" t="n">
        <v>44692</v>
      </c>
      <c r="C171" s="1" t="n">
        <v>45878</v>
      </c>
      <c r="D171" t="inlineStr">
        <is>
          <t>ÖSTERGÖTLANDS LÄN</t>
        </is>
      </c>
      <c r="E171" t="inlineStr">
        <is>
          <t>BOXHOLM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8843-2025</t>
        </is>
      </c>
      <c r="B172" s="1" t="n">
        <v>45713.33119212963</v>
      </c>
      <c r="C172" s="1" t="n">
        <v>45878</v>
      </c>
      <c r="D172" t="inlineStr">
        <is>
          <t>ÖSTERGÖTLANDS LÄN</t>
        </is>
      </c>
      <c r="E172" t="inlineStr">
        <is>
          <t>BOXHOLM</t>
        </is>
      </c>
      <c r="F172" t="inlineStr">
        <is>
          <t>Övriga Aktiebolag</t>
        </is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15498-2023</t>
        </is>
      </c>
      <c r="B173" s="1" t="n">
        <v>45020.4759375</v>
      </c>
      <c r="C173" s="1" t="n">
        <v>45878</v>
      </c>
      <c r="D173" t="inlineStr">
        <is>
          <t>ÖSTERGÖTLANDS LÄN</t>
        </is>
      </c>
      <c r="E173" t="inlineStr">
        <is>
          <t>BOXHOLM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15501-2023</t>
        </is>
      </c>
      <c r="B174" s="1" t="n">
        <v>45020.48547453704</v>
      </c>
      <c r="C174" s="1" t="n">
        <v>45878</v>
      </c>
      <c r="D174" t="inlineStr">
        <is>
          <t>ÖSTERGÖTLANDS LÄN</t>
        </is>
      </c>
      <c r="E174" t="inlineStr">
        <is>
          <t>BOXHOLM</t>
        </is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15505-2023</t>
        </is>
      </c>
      <c r="B175" s="1" t="n">
        <v>45020.49787037037</v>
      </c>
      <c r="C175" s="1" t="n">
        <v>45878</v>
      </c>
      <c r="D175" t="inlineStr">
        <is>
          <t>ÖSTERGÖTLANDS LÄN</t>
        </is>
      </c>
      <c r="E175" t="inlineStr">
        <is>
          <t>BOXHOLM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39486-2024</t>
        </is>
      </c>
      <c r="B176" s="1" t="n">
        <v>45551.65215277778</v>
      </c>
      <c r="C176" s="1" t="n">
        <v>45878</v>
      </c>
      <c r="D176" t="inlineStr">
        <is>
          <t>ÖSTERGÖTLANDS LÄN</t>
        </is>
      </c>
      <c r="E176" t="inlineStr">
        <is>
          <t>BOXHOLM</t>
        </is>
      </c>
      <c r="F176" t="inlineStr">
        <is>
          <t>Allmännings- och besparingsskogar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41080-2024</t>
        </is>
      </c>
      <c r="B177" s="1" t="n">
        <v>45559.40622685185</v>
      </c>
      <c r="C177" s="1" t="n">
        <v>45878</v>
      </c>
      <c r="D177" t="inlineStr">
        <is>
          <t>ÖSTERGÖTLANDS LÄN</t>
        </is>
      </c>
      <c r="E177" t="inlineStr">
        <is>
          <t>BOXHOLM</t>
        </is>
      </c>
      <c r="F177" t="inlineStr">
        <is>
          <t>Allmännings- och besparingsskogar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1597-2023</t>
        </is>
      </c>
      <c r="B178" s="1" t="n">
        <v>44937.66346064815</v>
      </c>
      <c r="C178" s="1" t="n">
        <v>45878</v>
      </c>
      <c r="D178" t="inlineStr">
        <is>
          <t>ÖSTERGÖTLANDS LÄN</t>
        </is>
      </c>
      <c r="E178" t="inlineStr">
        <is>
          <t>BOXHOLM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60175-2020</t>
        </is>
      </c>
      <c r="B179" s="1" t="n">
        <v>44152</v>
      </c>
      <c r="C179" s="1" t="n">
        <v>45878</v>
      </c>
      <c r="D179" t="inlineStr">
        <is>
          <t>ÖSTERGÖTLANDS LÄN</t>
        </is>
      </c>
      <c r="E179" t="inlineStr">
        <is>
          <t>BOXHOLM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15515-2025</t>
        </is>
      </c>
      <c r="B180" s="1" t="n">
        <v>45747.61591435185</v>
      </c>
      <c r="C180" s="1" t="n">
        <v>45878</v>
      </c>
      <c r="D180" t="inlineStr">
        <is>
          <t>ÖSTERGÖTLANDS LÄN</t>
        </is>
      </c>
      <c r="E180" t="inlineStr">
        <is>
          <t>BOXHOLM</t>
        </is>
      </c>
      <c r="F180" t="inlineStr">
        <is>
          <t>Övriga Aktiebolag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15523-2025</t>
        </is>
      </c>
      <c r="B181" s="1" t="n">
        <v>45747.62706018519</v>
      </c>
      <c r="C181" s="1" t="n">
        <v>45878</v>
      </c>
      <c r="D181" t="inlineStr">
        <is>
          <t>ÖSTERGÖTLANDS LÄN</t>
        </is>
      </c>
      <c r="E181" t="inlineStr">
        <is>
          <t>BOXHOLM</t>
        </is>
      </c>
      <c r="F181" t="inlineStr">
        <is>
          <t>Övriga Aktiebolag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46237-2024</t>
        </is>
      </c>
      <c r="B182" s="1" t="n">
        <v>45581.58351851852</v>
      </c>
      <c r="C182" s="1" t="n">
        <v>45878</v>
      </c>
      <c r="D182" t="inlineStr">
        <is>
          <t>ÖSTERGÖTLANDS LÄN</t>
        </is>
      </c>
      <c r="E182" t="inlineStr">
        <is>
          <t>BOXHOLM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51757-2023</t>
        </is>
      </c>
      <c r="B183" s="1" t="n">
        <v>45222</v>
      </c>
      <c r="C183" s="1" t="n">
        <v>45878</v>
      </c>
      <c r="D183" t="inlineStr">
        <is>
          <t>ÖSTERGÖTLANDS LÄN</t>
        </is>
      </c>
      <c r="E183" t="inlineStr">
        <is>
          <t>BOXHOLM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36491-2023</t>
        </is>
      </c>
      <c r="B184" s="1" t="n">
        <v>45152.89226851852</v>
      </c>
      <c r="C184" s="1" t="n">
        <v>45878</v>
      </c>
      <c r="D184" t="inlineStr">
        <is>
          <t>ÖSTERGÖTLANDS LÄN</t>
        </is>
      </c>
      <c r="E184" t="inlineStr">
        <is>
          <t>BOXHOLM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55181-2022</t>
        </is>
      </c>
      <c r="B185" s="1" t="n">
        <v>44886.84479166667</v>
      </c>
      <c r="C185" s="1" t="n">
        <v>45878</v>
      </c>
      <c r="D185" t="inlineStr">
        <is>
          <t>ÖSTERGÖTLANDS LÄN</t>
        </is>
      </c>
      <c r="E185" t="inlineStr">
        <is>
          <t>BOXHOLM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55183-2022</t>
        </is>
      </c>
      <c r="B186" s="1" t="n">
        <v>44886</v>
      </c>
      <c r="C186" s="1" t="n">
        <v>45878</v>
      </c>
      <c r="D186" t="inlineStr">
        <is>
          <t>ÖSTERGÖTLANDS LÄN</t>
        </is>
      </c>
      <c r="E186" t="inlineStr">
        <is>
          <t>BOXHOLM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48475-2024</t>
        </is>
      </c>
      <c r="B187" s="1" t="n">
        <v>45591.58818287037</v>
      </c>
      <c r="C187" s="1" t="n">
        <v>45878</v>
      </c>
      <c r="D187" t="inlineStr">
        <is>
          <t>ÖSTERGÖTLANDS LÄN</t>
        </is>
      </c>
      <c r="E187" t="inlineStr">
        <is>
          <t>BOXHOLM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55252-2022</t>
        </is>
      </c>
      <c r="B188" s="1" t="n">
        <v>44887.30880787037</v>
      </c>
      <c r="C188" s="1" t="n">
        <v>45878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35432-2023</t>
        </is>
      </c>
      <c r="B189" s="1" t="n">
        <v>45146.62869212963</v>
      </c>
      <c r="C189" s="1" t="n">
        <v>45878</v>
      </c>
      <c r="D189" t="inlineStr">
        <is>
          <t>ÖSTERGÖTLANDS LÄN</t>
        </is>
      </c>
      <c r="E189" t="inlineStr">
        <is>
          <t>BOXHOLM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39035-2023</t>
        </is>
      </c>
      <c r="B190" s="1" t="n">
        <v>45163.87773148148</v>
      </c>
      <c r="C190" s="1" t="n">
        <v>45878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Allmännings- och besparingsskogar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6249-2025</t>
        </is>
      </c>
      <c r="B191" s="1" t="n">
        <v>45698.57556712963</v>
      </c>
      <c r="C191" s="1" t="n">
        <v>45878</v>
      </c>
      <c r="D191" t="inlineStr">
        <is>
          <t>ÖSTERGÖTLANDS LÄN</t>
        </is>
      </c>
      <c r="E191" t="inlineStr">
        <is>
          <t>BOXHOLM</t>
        </is>
      </c>
      <c r="F191" t="inlineStr">
        <is>
          <t>Övriga Aktiebolag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39693-2024</t>
        </is>
      </c>
      <c r="B192" s="1" t="n">
        <v>45552</v>
      </c>
      <c r="C192" s="1" t="n">
        <v>45878</v>
      </c>
      <c r="D192" t="inlineStr">
        <is>
          <t>ÖSTERGÖTLANDS LÄN</t>
        </is>
      </c>
      <c r="E192" t="inlineStr">
        <is>
          <t>BOXHOLM</t>
        </is>
      </c>
      <c r="F192" t="inlineStr">
        <is>
          <t>Allmännings- och besparingsskogar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51359-2024</t>
        </is>
      </c>
      <c r="B193" s="1" t="n">
        <v>45604.36541666667</v>
      </c>
      <c r="C193" s="1" t="n">
        <v>45878</v>
      </c>
      <c r="D193" t="inlineStr">
        <is>
          <t>ÖSTERGÖTLANDS LÄN</t>
        </is>
      </c>
      <c r="E193" t="inlineStr">
        <is>
          <t>BOXHOLM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47655-2020</t>
        </is>
      </c>
      <c r="B194" s="1" t="n">
        <v>44098</v>
      </c>
      <c r="C194" s="1" t="n">
        <v>45878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23834-2023</t>
        </is>
      </c>
      <c r="B195" s="1" t="n">
        <v>45078.43443287037</v>
      </c>
      <c r="C195" s="1" t="n">
        <v>45878</v>
      </c>
      <c r="D195" t="inlineStr">
        <is>
          <t>ÖSTERGÖTLANDS LÄN</t>
        </is>
      </c>
      <c r="E195" t="inlineStr">
        <is>
          <t>BOXHOLM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45859-2024</t>
        </is>
      </c>
      <c r="B196" s="1" t="n">
        <v>45580.34663194444</v>
      </c>
      <c r="C196" s="1" t="n">
        <v>45878</v>
      </c>
      <c r="D196" t="inlineStr">
        <is>
          <t>ÖSTERGÖTLANDS LÄN</t>
        </is>
      </c>
      <c r="E196" t="inlineStr">
        <is>
          <t>BOXHOLM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53316-2024</t>
        </is>
      </c>
      <c r="B197" s="1" t="n">
        <v>45614.39777777778</v>
      </c>
      <c r="C197" s="1" t="n">
        <v>45878</v>
      </c>
      <c r="D197" t="inlineStr">
        <is>
          <t>ÖSTERGÖTLANDS LÄN</t>
        </is>
      </c>
      <c r="E197" t="inlineStr">
        <is>
          <t>BOXHOLM</t>
        </is>
      </c>
      <c r="F197" t="inlineStr">
        <is>
          <t>Övriga Aktiebolag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53356-2024</t>
        </is>
      </c>
      <c r="B198" s="1" t="n">
        <v>45614.45748842593</v>
      </c>
      <c r="C198" s="1" t="n">
        <v>45878</v>
      </c>
      <c r="D198" t="inlineStr">
        <is>
          <t>ÖSTERGÖTLANDS LÄN</t>
        </is>
      </c>
      <c r="E198" t="inlineStr">
        <is>
          <t>BOXHOLM</t>
        </is>
      </c>
      <c r="F198" t="inlineStr">
        <is>
          <t>Övriga Aktiebolag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48317-2023</t>
        </is>
      </c>
      <c r="B199" s="1" t="n">
        <v>45205</v>
      </c>
      <c r="C199" s="1" t="n">
        <v>45878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Allmännings- och besparingsskogar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10217-2025</t>
        </is>
      </c>
      <c r="B200" s="1" t="n">
        <v>45720.24975694445</v>
      </c>
      <c r="C200" s="1" t="n">
        <v>45878</v>
      </c>
      <c r="D200" t="inlineStr">
        <is>
          <t>ÖSTERGÖTLANDS LÄN</t>
        </is>
      </c>
      <c r="E200" t="inlineStr">
        <is>
          <t>BOXHOLM</t>
        </is>
      </c>
      <c r="F200" t="inlineStr">
        <is>
          <t>Övriga Aktiebolag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10219-2025</t>
        </is>
      </c>
      <c r="B201" s="1" t="n">
        <v>45720.27141203704</v>
      </c>
      <c r="C201" s="1" t="n">
        <v>45878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31675-2023</t>
        </is>
      </c>
      <c r="B202" s="1" t="n">
        <v>45117</v>
      </c>
      <c r="C202" s="1" t="n">
        <v>45878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16755-2022</t>
        </is>
      </c>
      <c r="B203" s="1" t="n">
        <v>44673.4696875</v>
      </c>
      <c r="C203" s="1" t="n">
        <v>45878</v>
      </c>
      <c r="D203" t="inlineStr">
        <is>
          <t>ÖSTERGÖTLANDS LÄN</t>
        </is>
      </c>
      <c r="E203" t="inlineStr">
        <is>
          <t>BOXHOLM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22046-2022</t>
        </is>
      </c>
      <c r="B204" s="1" t="n">
        <v>44711.66092592593</v>
      </c>
      <c r="C204" s="1" t="n">
        <v>45878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56144-2020</t>
        </is>
      </c>
      <c r="B205" s="1" t="n">
        <v>44133</v>
      </c>
      <c r="C205" s="1" t="n">
        <v>45878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Allmännings- och besparingsskogar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24059-2025</t>
        </is>
      </c>
      <c r="B206" s="1" t="n">
        <v>45796.51148148148</v>
      </c>
      <c r="C206" s="1" t="n">
        <v>45878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Kyrkan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44896-2023</t>
        </is>
      </c>
      <c r="B207" s="1" t="n">
        <v>45190</v>
      </c>
      <c r="C207" s="1" t="n">
        <v>45878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Allmännings- och besparingsskogar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26907-2022</t>
        </is>
      </c>
      <c r="B208" s="1" t="n">
        <v>44740.59423611111</v>
      </c>
      <c r="C208" s="1" t="n">
        <v>45878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31930-2025</t>
        </is>
      </c>
      <c r="B209" s="1" t="n">
        <v>45834.93092592592</v>
      </c>
      <c r="C209" s="1" t="n">
        <v>45878</v>
      </c>
      <c r="D209" t="inlineStr">
        <is>
          <t>ÖSTERGÖTLANDS LÄN</t>
        </is>
      </c>
      <c r="E209" t="inlineStr">
        <is>
          <t>BOXHOLM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51625-2022</t>
        </is>
      </c>
      <c r="B210" s="1" t="n">
        <v>44872.35686342593</v>
      </c>
      <c r="C210" s="1" t="n">
        <v>45878</v>
      </c>
      <c r="D210" t="inlineStr">
        <is>
          <t>ÖSTERGÖTLANDS LÄN</t>
        </is>
      </c>
      <c r="E210" t="inlineStr">
        <is>
          <t>BOXHOLM</t>
        </is>
      </c>
      <c r="F210" t="inlineStr">
        <is>
          <t>Övriga Aktiebolag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49895-2021</t>
        </is>
      </c>
      <c r="B211" s="1" t="n">
        <v>44455</v>
      </c>
      <c r="C211" s="1" t="n">
        <v>45878</v>
      </c>
      <c r="D211" t="inlineStr">
        <is>
          <t>ÖSTERGÖTLANDS LÄN</t>
        </is>
      </c>
      <c r="E211" t="inlineStr">
        <is>
          <t>BOXHOLM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36331-2022</t>
        </is>
      </c>
      <c r="B212" s="1" t="n">
        <v>44803.73353009259</v>
      </c>
      <c r="C212" s="1" t="n">
        <v>45878</v>
      </c>
      <c r="D212" t="inlineStr">
        <is>
          <t>ÖSTERGÖTLANDS LÄN</t>
        </is>
      </c>
      <c r="E212" t="inlineStr">
        <is>
          <t>BOXHOLM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24682-2025</t>
        </is>
      </c>
      <c r="B213" s="1" t="n">
        <v>45798.65913194444</v>
      </c>
      <c r="C213" s="1" t="n">
        <v>45878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Kyrkan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24582-2025</t>
        </is>
      </c>
      <c r="B214" s="1" t="n">
        <v>45797</v>
      </c>
      <c r="C214" s="1" t="n">
        <v>45878</v>
      </c>
      <c r="D214" t="inlineStr">
        <is>
          <t>ÖSTERGÖTLANDS LÄN</t>
        </is>
      </c>
      <c r="E214" t="inlineStr">
        <is>
          <t>BOXHOLM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10816-2021</t>
        </is>
      </c>
      <c r="B215" s="1" t="n">
        <v>44259</v>
      </c>
      <c r="C215" s="1" t="n">
        <v>45878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16635-2022</t>
        </is>
      </c>
      <c r="B216" s="1" t="n">
        <v>44672</v>
      </c>
      <c r="C216" s="1" t="n">
        <v>45878</v>
      </c>
      <c r="D216" t="inlineStr">
        <is>
          <t>ÖSTERGÖTLANDS LÄN</t>
        </is>
      </c>
      <c r="E216" t="inlineStr">
        <is>
          <t>BOXHOLM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14946-2022</t>
        </is>
      </c>
      <c r="B217" s="1" t="n">
        <v>44657.42840277778</v>
      </c>
      <c r="C217" s="1" t="n">
        <v>45878</v>
      </c>
      <c r="D217" t="inlineStr">
        <is>
          <t>ÖSTERGÖTLANDS LÄN</t>
        </is>
      </c>
      <c r="E217" t="inlineStr">
        <is>
          <t>BOXHOLM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46316-2023</t>
        </is>
      </c>
      <c r="B218" s="1" t="n">
        <v>45197</v>
      </c>
      <c r="C218" s="1" t="n">
        <v>45878</v>
      </c>
      <c r="D218" t="inlineStr">
        <is>
          <t>ÖSTERGÖTLANDS LÄN</t>
        </is>
      </c>
      <c r="E218" t="inlineStr">
        <is>
          <t>BOXHOLM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61486-2024</t>
        </is>
      </c>
      <c r="B219" s="1" t="n">
        <v>45646.54402777777</v>
      </c>
      <c r="C219" s="1" t="n">
        <v>45878</v>
      </c>
      <c r="D219" t="inlineStr">
        <is>
          <t>ÖSTERGÖTLANDS LÄN</t>
        </is>
      </c>
      <c r="E219" t="inlineStr">
        <is>
          <t>BOXHOLM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19129-2025</t>
        </is>
      </c>
      <c r="B220" s="1" t="n">
        <v>45769.23976851852</v>
      </c>
      <c r="C220" s="1" t="n">
        <v>45878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24325-2025</t>
        </is>
      </c>
      <c r="B221" s="1" t="n">
        <v>45797</v>
      </c>
      <c r="C221" s="1" t="n">
        <v>45878</v>
      </c>
      <c r="D221" t="inlineStr">
        <is>
          <t>ÖSTERGÖTLANDS LÄN</t>
        </is>
      </c>
      <c r="E221" t="inlineStr">
        <is>
          <t>BOXHOLM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2198-2023</t>
        </is>
      </c>
      <c r="B222" s="1" t="n">
        <v>44942</v>
      </c>
      <c r="C222" s="1" t="n">
        <v>45878</v>
      </c>
      <c r="D222" t="inlineStr">
        <is>
          <t>ÖSTERGÖTLANDS LÄN</t>
        </is>
      </c>
      <c r="E222" t="inlineStr">
        <is>
          <t>BOXHOLM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1666-2025</t>
        </is>
      </c>
      <c r="B223" s="1" t="n">
        <v>45670.67089120371</v>
      </c>
      <c r="C223" s="1" t="n">
        <v>45878</v>
      </c>
      <c r="D223" t="inlineStr">
        <is>
          <t>ÖSTERGÖTLANDS LÄN</t>
        </is>
      </c>
      <c r="E223" t="inlineStr">
        <is>
          <t>BOXHOLM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53616-2024</t>
        </is>
      </c>
      <c r="B224" s="1" t="n">
        <v>45614.73055555556</v>
      </c>
      <c r="C224" s="1" t="n">
        <v>45878</v>
      </c>
      <c r="D224" t="inlineStr">
        <is>
          <t>ÖSTERGÖTLANDS LÄN</t>
        </is>
      </c>
      <c r="E224" t="inlineStr">
        <is>
          <t>BOXHOLM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25937-2024</t>
        </is>
      </c>
      <c r="B225" s="1" t="n">
        <v>45467</v>
      </c>
      <c r="C225" s="1" t="n">
        <v>45878</v>
      </c>
      <c r="D225" t="inlineStr">
        <is>
          <t>ÖSTERGÖTLANDS LÄN</t>
        </is>
      </c>
      <c r="E225" t="inlineStr">
        <is>
          <t>BOXHOLM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25431-2023</t>
        </is>
      </c>
      <c r="B226" s="1" t="n">
        <v>45089.41094907407</v>
      </c>
      <c r="C226" s="1" t="n">
        <v>45878</v>
      </c>
      <c r="D226" t="inlineStr">
        <is>
          <t>ÖSTERGÖTLANDS LÄN</t>
        </is>
      </c>
      <c r="E226" t="inlineStr">
        <is>
          <t>BOXHOLM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15476-2023</t>
        </is>
      </c>
      <c r="B227" s="1" t="n">
        <v>45020.45096064815</v>
      </c>
      <c r="C227" s="1" t="n">
        <v>45878</v>
      </c>
      <c r="D227" t="inlineStr">
        <is>
          <t>ÖSTERGÖTLANDS LÄN</t>
        </is>
      </c>
      <c r="E227" t="inlineStr">
        <is>
          <t>BOXHOLM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15502-2023</t>
        </is>
      </c>
      <c r="B228" s="1" t="n">
        <v>45020.4886574074</v>
      </c>
      <c r="C228" s="1" t="n">
        <v>45878</v>
      </c>
      <c r="D228" t="inlineStr">
        <is>
          <t>ÖSTERGÖTLANDS LÄN</t>
        </is>
      </c>
      <c r="E228" t="inlineStr">
        <is>
          <t>BOXHOLM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8926-2025</t>
        </is>
      </c>
      <c r="B229" s="1" t="n">
        <v>45713.44128472222</v>
      </c>
      <c r="C229" s="1" t="n">
        <v>45878</v>
      </c>
      <c r="D229" t="inlineStr">
        <is>
          <t>ÖSTERGÖTLANDS LÄN</t>
        </is>
      </c>
      <c r="E229" t="inlineStr">
        <is>
          <t>BOXHOLM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34839-2023</t>
        </is>
      </c>
      <c r="B230" s="1" t="n">
        <v>45141</v>
      </c>
      <c r="C230" s="1" t="n">
        <v>45878</v>
      </c>
      <c r="D230" t="inlineStr">
        <is>
          <t>ÖSTERGÖTLANDS LÄN</t>
        </is>
      </c>
      <c r="E230" t="inlineStr">
        <is>
          <t>BOXHOLM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40308-2022</t>
        </is>
      </c>
      <c r="B231" s="1" t="n">
        <v>44822</v>
      </c>
      <c r="C231" s="1" t="n">
        <v>45878</v>
      </c>
      <c r="D231" t="inlineStr">
        <is>
          <t>ÖSTERGÖTLANDS LÄN</t>
        </is>
      </c>
      <c r="E231" t="inlineStr">
        <is>
          <t>BOXHOLM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15537-2025</t>
        </is>
      </c>
      <c r="B232" s="1" t="n">
        <v>45747.63940972222</v>
      </c>
      <c r="C232" s="1" t="n">
        <v>45878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6239-2025</t>
        </is>
      </c>
      <c r="B233" s="1" t="n">
        <v>45698.56226851852</v>
      </c>
      <c r="C233" s="1" t="n">
        <v>45878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13633-2021</t>
        </is>
      </c>
      <c r="B234" s="1" t="n">
        <v>44274.41601851852</v>
      </c>
      <c r="C234" s="1" t="n">
        <v>45878</v>
      </c>
      <c r="D234" t="inlineStr">
        <is>
          <t>ÖSTERGÖTLANDS LÄN</t>
        </is>
      </c>
      <c r="E234" t="inlineStr">
        <is>
          <t>BOXHOLM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61066-2021</t>
        </is>
      </c>
      <c r="B235" s="1" t="n">
        <v>44497</v>
      </c>
      <c r="C235" s="1" t="n">
        <v>45878</v>
      </c>
      <c r="D235" t="inlineStr">
        <is>
          <t>ÖSTERGÖTLANDS LÄN</t>
        </is>
      </c>
      <c r="E235" t="inlineStr">
        <is>
          <t>BOXHOLM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41533-2020</t>
        </is>
      </c>
      <c r="B236" s="1" t="n">
        <v>44074</v>
      </c>
      <c r="C236" s="1" t="n">
        <v>45878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Allmännings- och besparingsskogar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37405-2023</t>
        </is>
      </c>
      <c r="B237" s="1" t="n">
        <v>45156</v>
      </c>
      <c r="C237" s="1" t="n">
        <v>45878</v>
      </c>
      <c r="D237" t="inlineStr">
        <is>
          <t>ÖSTERGÖTLANDS LÄN</t>
        </is>
      </c>
      <c r="E237" t="inlineStr">
        <is>
          <t>BOXHOLM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39601-2020</t>
        </is>
      </c>
      <c r="B238" s="1" t="n">
        <v>44064</v>
      </c>
      <c r="C238" s="1" t="n">
        <v>45878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24859-2022</t>
        </is>
      </c>
      <c r="B239" s="1" t="n">
        <v>44728.4884837963</v>
      </c>
      <c r="C239" s="1" t="n">
        <v>45878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Övriga Aktiebolag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35091-2023</t>
        </is>
      </c>
      <c r="B240" s="1" t="n">
        <v>45145.4506712963</v>
      </c>
      <c r="C240" s="1" t="n">
        <v>45878</v>
      </c>
      <c r="D240" t="inlineStr">
        <is>
          <t>ÖSTERGÖTLANDS LÄN</t>
        </is>
      </c>
      <c r="E240" t="inlineStr">
        <is>
          <t>BOXHOLM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25279-2024</t>
        </is>
      </c>
      <c r="B241" s="1" t="n">
        <v>45462</v>
      </c>
      <c r="C241" s="1" t="n">
        <v>45878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Övriga Aktiebolag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26648-2025</t>
        </is>
      </c>
      <c r="B242" s="1" t="n">
        <v>45809</v>
      </c>
      <c r="C242" s="1" t="n">
        <v>45878</v>
      </c>
      <c r="D242" t="inlineStr">
        <is>
          <t>ÖSTERGÖTLANDS LÄN</t>
        </is>
      </c>
      <c r="E242" t="inlineStr">
        <is>
          <t>BOXHOLM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49050-2023</t>
        </is>
      </c>
      <c r="B243" s="1" t="n">
        <v>45210</v>
      </c>
      <c r="C243" s="1" t="n">
        <v>45878</v>
      </c>
      <c r="D243" t="inlineStr">
        <is>
          <t>ÖSTERGÖTLANDS LÄN</t>
        </is>
      </c>
      <c r="E243" t="inlineStr">
        <is>
          <t>BOXHOLM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49069-2023</t>
        </is>
      </c>
      <c r="B244" s="1" t="n">
        <v>45210</v>
      </c>
      <c r="C244" s="1" t="n">
        <v>45878</v>
      </c>
      <c r="D244" t="inlineStr">
        <is>
          <t>ÖSTERGÖTLANDS LÄN</t>
        </is>
      </c>
      <c r="E244" t="inlineStr">
        <is>
          <t>BOXHOLM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13735-2021</t>
        </is>
      </c>
      <c r="B245" s="1" t="n">
        <v>44274</v>
      </c>
      <c r="C245" s="1" t="n">
        <v>45878</v>
      </c>
      <c r="D245" t="inlineStr">
        <is>
          <t>ÖSTERGÖTLANDS LÄN</t>
        </is>
      </c>
      <c r="E245" t="inlineStr">
        <is>
          <t>BOXHOLM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26643-2025</t>
        </is>
      </c>
      <c r="B246" s="1" t="n">
        <v>45809</v>
      </c>
      <c r="C246" s="1" t="n">
        <v>45878</v>
      </c>
      <c r="D246" t="inlineStr">
        <is>
          <t>ÖSTERGÖTLANDS LÄN</t>
        </is>
      </c>
      <c r="E246" t="inlineStr">
        <is>
          <t>BOXHOLM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13993-2022</t>
        </is>
      </c>
      <c r="B247" s="1" t="n">
        <v>44650</v>
      </c>
      <c r="C247" s="1" t="n">
        <v>45878</v>
      </c>
      <c r="D247" t="inlineStr">
        <is>
          <t>ÖSTERGÖTLANDS LÄN</t>
        </is>
      </c>
      <c r="E247" t="inlineStr">
        <is>
          <t>BOXHOLM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24508-2024</t>
        </is>
      </c>
      <c r="B248" s="1" t="n">
        <v>45460.33451388889</v>
      </c>
      <c r="C248" s="1" t="n">
        <v>45878</v>
      </c>
      <c r="D248" t="inlineStr">
        <is>
          <t>ÖSTERGÖTLANDS LÄN</t>
        </is>
      </c>
      <c r="E248" t="inlineStr">
        <is>
          <t>BOXHOLM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43824-2023</t>
        </is>
      </c>
      <c r="B249" s="1" t="n">
        <v>45187</v>
      </c>
      <c r="C249" s="1" t="n">
        <v>45878</v>
      </c>
      <c r="D249" t="inlineStr">
        <is>
          <t>ÖSTERGÖTLANDS LÄN</t>
        </is>
      </c>
      <c r="E249" t="inlineStr">
        <is>
          <t>BOXHOLM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39029-2023</t>
        </is>
      </c>
      <c r="B250" s="1" t="n">
        <v>45163</v>
      </c>
      <c r="C250" s="1" t="n">
        <v>45878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Allmännings- och besparingsskogar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21151-2023</t>
        </is>
      </c>
      <c r="B251" s="1" t="n">
        <v>45062</v>
      </c>
      <c r="C251" s="1" t="n">
        <v>45878</v>
      </c>
      <c r="D251" t="inlineStr">
        <is>
          <t>ÖSTERGÖTLANDS LÄN</t>
        </is>
      </c>
      <c r="E251" t="inlineStr">
        <is>
          <t>BOXHOLM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51708-2023</t>
        </is>
      </c>
      <c r="B252" s="1" t="n">
        <v>45222.63094907408</v>
      </c>
      <c r="C252" s="1" t="n">
        <v>45878</v>
      </c>
      <c r="D252" t="inlineStr">
        <is>
          <t>ÖSTERGÖTLANDS LÄN</t>
        </is>
      </c>
      <c r="E252" t="inlineStr">
        <is>
          <t>BOXHOLM</t>
        </is>
      </c>
      <c r="F252" t="inlineStr">
        <is>
          <t>Allmännings- och besparingsskogar</t>
        </is>
      </c>
      <c r="G252" t="n">
        <v>24.2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39031-2023</t>
        </is>
      </c>
      <c r="B253" s="1" t="n">
        <v>45163</v>
      </c>
      <c r="C253" s="1" t="n">
        <v>45878</v>
      </c>
      <c r="D253" t="inlineStr">
        <is>
          <t>ÖSTERGÖTLANDS LÄN</t>
        </is>
      </c>
      <c r="E253" t="inlineStr">
        <is>
          <t>BOXHOLM</t>
        </is>
      </c>
      <c r="F253" t="inlineStr">
        <is>
          <t>Allmännings- och besparingsskogar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39033-2023</t>
        </is>
      </c>
      <c r="B254" s="1" t="n">
        <v>45163</v>
      </c>
      <c r="C254" s="1" t="n">
        <v>45878</v>
      </c>
      <c r="D254" t="inlineStr">
        <is>
          <t>ÖSTERGÖTLANDS LÄN</t>
        </is>
      </c>
      <c r="E254" t="inlineStr">
        <is>
          <t>BOXHOLM</t>
        </is>
      </c>
      <c r="F254" t="inlineStr">
        <is>
          <t>Allmännings- och besparingsskogar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10317-2025</t>
        </is>
      </c>
      <c r="B255" s="1" t="n">
        <v>45720.46690972222</v>
      </c>
      <c r="C255" s="1" t="n">
        <v>45878</v>
      </c>
      <c r="D255" t="inlineStr">
        <is>
          <t>ÖSTERGÖTLANDS LÄN</t>
        </is>
      </c>
      <c r="E255" t="inlineStr">
        <is>
          <t>BOXHOLM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10315-2025</t>
        </is>
      </c>
      <c r="B256" s="1" t="n">
        <v>45720.45877314815</v>
      </c>
      <c r="C256" s="1" t="n">
        <v>45878</v>
      </c>
      <c r="D256" t="inlineStr">
        <is>
          <t>ÖSTERGÖTLANDS LÄN</t>
        </is>
      </c>
      <c r="E256" t="inlineStr">
        <is>
          <t>BOXHOLM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43752-2020</t>
        </is>
      </c>
      <c r="B257" s="1" t="n">
        <v>44082</v>
      </c>
      <c r="C257" s="1" t="n">
        <v>45878</v>
      </c>
      <c r="D257" t="inlineStr">
        <is>
          <t>ÖSTERGÖTLANDS LÄN</t>
        </is>
      </c>
      <c r="E257" t="inlineStr">
        <is>
          <t>BOXHOLM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15386-2025</t>
        </is>
      </c>
      <c r="B258" s="1" t="n">
        <v>45747.42486111111</v>
      </c>
      <c r="C258" s="1" t="n">
        <v>45878</v>
      </c>
      <c r="D258" t="inlineStr">
        <is>
          <t>ÖSTERGÖTLANDS LÄN</t>
        </is>
      </c>
      <c r="E258" t="inlineStr">
        <is>
          <t>BOXHOLM</t>
        </is>
      </c>
      <c r="F258" t="inlineStr">
        <is>
          <t>Övriga Aktiebolag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10250-2023</t>
        </is>
      </c>
      <c r="B259" s="1" t="n">
        <v>44980</v>
      </c>
      <c r="C259" s="1" t="n">
        <v>45878</v>
      </c>
      <c r="D259" t="inlineStr">
        <is>
          <t>ÖSTERGÖTLANDS LÄN</t>
        </is>
      </c>
      <c r="E259" t="inlineStr">
        <is>
          <t>BOXHOLM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15163-2025</t>
        </is>
      </c>
      <c r="B260" s="1" t="n">
        <v>45744.48346064815</v>
      </c>
      <c r="C260" s="1" t="n">
        <v>45878</v>
      </c>
      <c r="D260" t="inlineStr">
        <is>
          <t>ÖSTERGÖTLANDS LÄN</t>
        </is>
      </c>
      <c r="E260" t="inlineStr">
        <is>
          <t>BOXHOLM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35440-2025</t>
        </is>
      </c>
      <c r="B261" s="1" t="n">
        <v>45855.49415509259</v>
      </c>
      <c r="C261" s="1" t="n">
        <v>45878</v>
      </c>
      <c r="D261" t="inlineStr">
        <is>
          <t>ÖSTERGÖTLANDS LÄN</t>
        </is>
      </c>
      <c r="E261" t="inlineStr">
        <is>
          <t>BOXHOLM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35765-2025</t>
        </is>
      </c>
      <c r="B262" s="1" t="n">
        <v>45860.62929398148</v>
      </c>
      <c r="C262" s="1" t="n">
        <v>45878</v>
      </c>
      <c r="D262" t="inlineStr">
        <is>
          <t>ÖSTERGÖTLANDS LÄN</t>
        </is>
      </c>
      <c r="E262" t="inlineStr">
        <is>
          <t>BOXHOLM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3569-2024</t>
        </is>
      </c>
      <c r="B263" s="1" t="n">
        <v>45320</v>
      </c>
      <c r="C263" s="1" t="n">
        <v>45878</v>
      </c>
      <c r="D263" t="inlineStr">
        <is>
          <t>ÖSTERGÖTLANDS LÄN</t>
        </is>
      </c>
      <c r="E263" t="inlineStr">
        <is>
          <t>BOXHOLM</t>
        </is>
      </c>
      <c r="F263" t="inlineStr">
        <is>
          <t>Övriga Aktiebolag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4415-2024</t>
        </is>
      </c>
      <c r="B264" s="1" t="n">
        <v>45327</v>
      </c>
      <c r="C264" s="1" t="n">
        <v>45878</v>
      </c>
      <c r="D264" t="inlineStr">
        <is>
          <t>ÖSTERGÖTLANDS LÄN</t>
        </is>
      </c>
      <c r="E264" t="inlineStr">
        <is>
          <t>BOXHOLM</t>
        </is>
      </c>
      <c r="F264" t="inlineStr">
        <is>
          <t>Allmännings- och besparingsskogar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35762-2025</t>
        </is>
      </c>
      <c r="B265" s="1" t="n">
        <v>45860.62039351852</v>
      </c>
      <c r="C265" s="1" t="n">
        <v>45878</v>
      </c>
      <c r="D265" t="inlineStr">
        <is>
          <t>ÖSTERGÖTLANDS LÄN</t>
        </is>
      </c>
      <c r="E265" t="inlineStr">
        <is>
          <t>BOXHOLM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35764-2025</t>
        </is>
      </c>
      <c r="B266" s="1" t="n">
        <v>45860.62782407407</v>
      </c>
      <c r="C266" s="1" t="n">
        <v>45878</v>
      </c>
      <c r="D266" t="inlineStr">
        <is>
          <t>ÖSTERGÖTLANDS LÄN</t>
        </is>
      </c>
      <c r="E266" t="inlineStr">
        <is>
          <t>BOXHOLM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22853-2023</t>
        </is>
      </c>
      <c r="B267" s="1" t="n">
        <v>45072.47035879629</v>
      </c>
      <c r="C267" s="1" t="n">
        <v>45878</v>
      </c>
      <c r="D267" t="inlineStr">
        <is>
          <t>ÖSTERGÖTLANDS LÄN</t>
        </is>
      </c>
      <c r="E267" t="inlineStr">
        <is>
          <t>BOXHOLM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35187-2021</t>
        </is>
      </c>
      <c r="B268" s="1" t="n">
        <v>44384</v>
      </c>
      <c r="C268" s="1" t="n">
        <v>45878</v>
      </c>
      <c r="D268" t="inlineStr">
        <is>
          <t>ÖSTERGÖTLANDS LÄN</t>
        </is>
      </c>
      <c r="E268" t="inlineStr">
        <is>
          <t>BOXHOLM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35763-2025</t>
        </is>
      </c>
      <c r="B269" s="1" t="n">
        <v>45860.62597222222</v>
      </c>
      <c r="C269" s="1" t="n">
        <v>45878</v>
      </c>
      <c r="D269" t="inlineStr">
        <is>
          <t>ÖSTERGÖTLANDS LÄN</t>
        </is>
      </c>
      <c r="E269" t="inlineStr">
        <is>
          <t>BOXHOLM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28629-2025</t>
        </is>
      </c>
      <c r="B270" s="1" t="n">
        <v>45819.62172453704</v>
      </c>
      <c r="C270" s="1" t="n">
        <v>45878</v>
      </c>
      <c r="D270" t="inlineStr">
        <is>
          <t>ÖSTERGÖTLANDS LÄN</t>
        </is>
      </c>
      <c r="E270" t="inlineStr">
        <is>
          <t>BOXHOLM</t>
        </is>
      </c>
      <c r="F270" t="inlineStr">
        <is>
          <t>Övriga Aktiebolag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28597-2025</t>
        </is>
      </c>
      <c r="B271" s="1" t="n">
        <v>45819.59641203703</v>
      </c>
      <c r="C271" s="1" t="n">
        <v>45878</v>
      </c>
      <c r="D271" t="inlineStr">
        <is>
          <t>ÖSTERGÖTLANDS LÄN</t>
        </is>
      </c>
      <c r="E271" t="inlineStr">
        <is>
          <t>BOXHOLM</t>
        </is>
      </c>
      <c r="F271" t="inlineStr">
        <is>
          <t>Övriga Aktiebolag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28583-2025</t>
        </is>
      </c>
      <c r="B272" s="1" t="n">
        <v>45819.57790509259</v>
      </c>
      <c r="C272" s="1" t="n">
        <v>45878</v>
      </c>
      <c r="D272" t="inlineStr">
        <is>
          <t>ÖSTERGÖTLANDS LÄN</t>
        </is>
      </c>
      <c r="E272" t="inlineStr">
        <is>
          <t>BOXHOLM</t>
        </is>
      </c>
      <c r="F272" t="inlineStr">
        <is>
          <t>Övriga Aktiebolag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17728-2025</t>
        </is>
      </c>
      <c r="B273" s="1" t="n">
        <v>45758.4608912037</v>
      </c>
      <c r="C273" s="1" t="n">
        <v>45878</v>
      </c>
      <c r="D273" t="inlineStr">
        <is>
          <t>ÖSTERGÖTLANDS LÄN</t>
        </is>
      </c>
      <c r="E273" t="inlineStr">
        <is>
          <t>BOXHOLM</t>
        </is>
      </c>
      <c r="F273" t="inlineStr">
        <is>
          <t>Övriga Aktiebolag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16146-2023</t>
        </is>
      </c>
      <c r="B274" s="1" t="n">
        <v>45027.6528125</v>
      </c>
      <c r="C274" s="1" t="n">
        <v>45878</v>
      </c>
      <c r="D274" t="inlineStr">
        <is>
          <t>ÖSTERGÖTLANDS LÄN</t>
        </is>
      </c>
      <c r="E274" t="inlineStr">
        <is>
          <t>BOXHOLM</t>
        </is>
      </c>
      <c r="F274" t="inlineStr">
        <is>
          <t>Allmännings- och besparingsskogar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931-2024</t>
        </is>
      </c>
      <c r="B275" s="1" t="n">
        <v>45301.50878472222</v>
      </c>
      <c r="C275" s="1" t="n">
        <v>45878</v>
      </c>
      <c r="D275" t="inlineStr">
        <is>
          <t>ÖSTERGÖTLANDS LÄN</t>
        </is>
      </c>
      <c r="E275" t="inlineStr">
        <is>
          <t>BOXHOLM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10152-2024</t>
        </is>
      </c>
      <c r="B276" s="1" t="n">
        <v>45364.64773148148</v>
      </c>
      <c r="C276" s="1" t="n">
        <v>45878</v>
      </c>
      <c r="D276" t="inlineStr">
        <is>
          <t>ÖSTERGÖTLANDS LÄN</t>
        </is>
      </c>
      <c r="E276" t="inlineStr">
        <is>
          <t>BOXHOLM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42383-2022</t>
        </is>
      </c>
      <c r="B277" s="1" t="n">
        <v>44831.41400462963</v>
      </c>
      <c r="C277" s="1" t="n">
        <v>45878</v>
      </c>
      <c r="D277" t="inlineStr">
        <is>
          <t>ÖSTERGÖTLANDS LÄN</t>
        </is>
      </c>
      <c r="E277" t="inlineStr">
        <is>
          <t>BOXHOLM</t>
        </is>
      </c>
      <c r="F277" t="inlineStr">
        <is>
          <t>Övriga Aktiebolag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15500-2023</t>
        </is>
      </c>
      <c r="B278" s="1" t="n">
        <v>45020.48318287037</v>
      </c>
      <c r="C278" s="1" t="n">
        <v>45878</v>
      </c>
      <c r="D278" t="inlineStr">
        <is>
          <t>ÖSTERGÖTLANDS LÄN</t>
        </is>
      </c>
      <c r="E278" t="inlineStr">
        <is>
          <t>BOXHOLM</t>
        </is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36202-2025</t>
        </is>
      </c>
      <c r="B279" s="1" t="n">
        <v>45867.44660879629</v>
      </c>
      <c r="C279" s="1" t="n">
        <v>45878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Övriga Aktiebolag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36177-2025</t>
        </is>
      </c>
      <c r="B280" s="1" t="n">
        <v>45867.40793981482</v>
      </c>
      <c r="C280" s="1" t="n">
        <v>45878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Övriga Aktiebolag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8079-2025</t>
        </is>
      </c>
      <c r="B281" s="1" t="n">
        <v>45707.65875</v>
      </c>
      <c r="C281" s="1" t="n">
        <v>45878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8081-2025</t>
        </is>
      </c>
      <c r="B282" s="1" t="n">
        <v>45707.6619212963</v>
      </c>
      <c r="C282" s="1" t="n">
        <v>45878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29612-2025</t>
        </is>
      </c>
      <c r="B283" s="1" t="n">
        <v>45825</v>
      </c>
      <c r="C283" s="1" t="n">
        <v>45878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Övriga Aktiebolag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3129-2025</t>
        </is>
      </c>
      <c r="B284" s="1" t="n">
        <v>45678.73885416667</v>
      </c>
      <c r="C284" s="1" t="n">
        <v>45878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36433-2025</t>
        </is>
      </c>
      <c r="B285" s="1" t="n">
        <v>45869.36848379629</v>
      </c>
      <c r="C285" s="1" t="n">
        <v>45878</v>
      </c>
      <c r="D285" t="inlineStr">
        <is>
          <t>ÖSTERGÖTLANDS LÄN</t>
        </is>
      </c>
      <c r="E285" t="inlineStr">
        <is>
          <t>BOXHOLM</t>
        </is>
      </c>
      <c r="F285" t="inlineStr">
        <is>
          <t>Övriga Aktiebolag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36166-2025</t>
        </is>
      </c>
      <c r="B286" s="1" t="n">
        <v>45867</v>
      </c>
      <c r="C286" s="1" t="n">
        <v>45878</v>
      </c>
      <c r="D286" t="inlineStr">
        <is>
          <t>ÖSTERGÖTLANDS LÄN</t>
        </is>
      </c>
      <c r="E286" t="inlineStr">
        <is>
          <t>BOXHOLM</t>
        </is>
      </c>
      <c r="F286" t="inlineStr">
        <is>
          <t>Övriga Aktiebolag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36175-2025</t>
        </is>
      </c>
      <c r="B287" s="1" t="n">
        <v>45867</v>
      </c>
      <c r="C287" s="1" t="n">
        <v>45878</v>
      </c>
      <c r="D287" t="inlineStr">
        <is>
          <t>ÖSTERGÖTLANDS LÄN</t>
        </is>
      </c>
      <c r="E287" t="inlineStr">
        <is>
          <t>BOXHOLM</t>
        </is>
      </c>
      <c r="F287" t="inlineStr">
        <is>
          <t>Övriga Aktiebolag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929-2024</t>
        </is>
      </c>
      <c r="B288" s="1" t="n">
        <v>45301</v>
      </c>
      <c r="C288" s="1" t="n">
        <v>45878</v>
      </c>
      <c r="D288" t="inlineStr">
        <is>
          <t>ÖSTERGÖTLANDS LÄN</t>
        </is>
      </c>
      <c r="E288" t="inlineStr">
        <is>
          <t>BOXHOLM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12734-2025</t>
        </is>
      </c>
      <c r="B289" s="1" t="n">
        <v>45733.51623842592</v>
      </c>
      <c r="C289" s="1" t="n">
        <v>45878</v>
      </c>
      <c r="D289" t="inlineStr">
        <is>
          <t>ÖSTERGÖTLANDS LÄN</t>
        </is>
      </c>
      <c r="E289" t="inlineStr">
        <is>
          <t>BOXHOLM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51763-2023</t>
        </is>
      </c>
      <c r="B290" s="1" t="n">
        <v>45222</v>
      </c>
      <c r="C290" s="1" t="n">
        <v>45878</v>
      </c>
      <c r="D290" t="inlineStr">
        <is>
          <t>ÖSTERGÖTLANDS LÄN</t>
        </is>
      </c>
      <c r="E290" t="inlineStr">
        <is>
          <t>BOXHOLM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957-2024</t>
        </is>
      </c>
      <c r="B291" s="1" t="n">
        <v>45301.57243055556</v>
      </c>
      <c r="C291" s="1" t="n">
        <v>45878</v>
      </c>
      <c r="D291" t="inlineStr">
        <is>
          <t>ÖSTERGÖTLANDS LÄN</t>
        </is>
      </c>
      <c r="E291" t="inlineStr">
        <is>
          <t>BOXHOLM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25127-2024</t>
        </is>
      </c>
      <c r="B292" s="1" t="n">
        <v>45462</v>
      </c>
      <c r="C292" s="1" t="n">
        <v>45878</v>
      </c>
      <c r="D292" t="inlineStr">
        <is>
          <t>ÖSTERGÖTLANDS LÄN</t>
        </is>
      </c>
      <c r="E292" t="inlineStr">
        <is>
          <t>BOXHOLM</t>
        </is>
      </c>
      <c r="F292" t="inlineStr">
        <is>
          <t>Övriga Aktiebolag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7290-2025</t>
        </is>
      </c>
      <c r="B293" s="1" t="n">
        <v>45702</v>
      </c>
      <c r="C293" s="1" t="n">
        <v>45878</v>
      </c>
      <c r="D293" t="inlineStr">
        <is>
          <t>ÖSTERGÖTLANDS LÄN</t>
        </is>
      </c>
      <c r="E293" t="inlineStr">
        <is>
          <t>BOXHOLM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45137-2024</t>
        </is>
      </c>
      <c r="B294" s="1" t="n">
        <v>45575.63452546296</v>
      </c>
      <c r="C294" s="1" t="n">
        <v>45878</v>
      </c>
      <c r="D294" t="inlineStr">
        <is>
          <t>ÖSTERGÖTLANDS LÄN</t>
        </is>
      </c>
      <c r="E294" t="inlineStr">
        <is>
          <t>BOXHOLM</t>
        </is>
      </c>
      <c r="F294" t="inlineStr">
        <is>
          <t>Allmännings- och besparingsskogar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27816-2025</t>
        </is>
      </c>
      <c r="B295" s="1" t="n">
        <v>45817</v>
      </c>
      <c r="C295" s="1" t="n">
        <v>45878</v>
      </c>
      <c r="D295" t="inlineStr">
        <is>
          <t>ÖSTERGÖTLANDS LÄN</t>
        </is>
      </c>
      <c r="E295" t="inlineStr">
        <is>
          <t>BOXHOLM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31808-2025</t>
        </is>
      </c>
      <c r="B296" s="1" t="n">
        <v>45834.55734953703</v>
      </c>
      <c r="C296" s="1" t="n">
        <v>45878</v>
      </c>
      <c r="D296" t="inlineStr">
        <is>
          <t>ÖSTERGÖTLANDS LÄN</t>
        </is>
      </c>
      <c r="E296" t="inlineStr">
        <is>
          <t>BOXHOLM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38343-2020</t>
        </is>
      </c>
      <c r="B297" s="1" t="n">
        <v>44060</v>
      </c>
      <c r="C297" s="1" t="n">
        <v>45878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Allmännings- och besparingsskogar</t>
        </is>
      </c>
      <c r="G297" t="n">
        <v>10.3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9059-2023</t>
        </is>
      </c>
      <c r="B298" s="1" t="n">
        <v>44979.71133101852</v>
      </c>
      <c r="C298" s="1" t="n">
        <v>45878</v>
      </c>
      <c r="D298" t="inlineStr">
        <is>
          <t>ÖSTERGÖTLANDS LÄN</t>
        </is>
      </c>
      <c r="E298" t="inlineStr">
        <is>
          <t>BOXHOLM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38352-2020</t>
        </is>
      </c>
      <c r="B299" s="1" t="n">
        <v>44060</v>
      </c>
      <c r="C299" s="1" t="n">
        <v>45878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Allmännings- och besparingsskogar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24122-2023</t>
        </is>
      </c>
      <c r="B300" s="1" t="n">
        <v>45079</v>
      </c>
      <c r="C300" s="1" t="n">
        <v>45878</v>
      </c>
      <c r="D300" t="inlineStr">
        <is>
          <t>ÖSTERGÖTLANDS LÄN</t>
        </is>
      </c>
      <c r="E300" t="inlineStr">
        <is>
          <t>BOXHOLM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21635-2023</t>
        </is>
      </c>
      <c r="B301" s="1" t="n">
        <v>45062</v>
      </c>
      <c r="C301" s="1" t="n">
        <v>45878</v>
      </c>
      <c r="D301" t="inlineStr">
        <is>
          <t>ÖSTERGÖTLANDS LÄN</t>
        </is>
      </c>
      <c r="E301" t="inlineStr">
        <is>
          <t>BOXHOLM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966-2024</t>
        </is>
      </c>
      <c r="B302" s="1" t="n">
        <v>45301</v>
      </c>
      <c r="C302" s="1" t="n">
        <v>45878</v>
      </c>
      <c r="D302" t="inlineStr">
        <is>
          <t>ÖSTERGÖTLANDS LÄN</t>
        </is>
      </c>
      <c r="E302" t="inlineStr">
        <is>
          <t>BOXHOLM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935-2024</t>
        </is>
      </c>
      <c r="B303" s="1" t="n">
        <v>45301.5165162037</v>
      </c>
      <c r="C303" s="1" t="n">
        <v>45878</v>
      </c>
      <c r="D303" t="inlineStr">
        <is>
          <t>ÖSTERGÖTLANDS LÄN</t>
        </is>
      </c>
      <c r="E303" t="inlineStr">
        <is>
          <t>BOXHOLM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37714-2020</t>
        </is>
      </c>
      <c r="B304" s="1" t="n">
        <v>44056</v>
      </c>
      <c r="C304" s="1" t="n">
        <v>45878</v>
      </c>
      <c r="D304" t="inlineStr">
        <is>
          <t>ÖSTERGÖTLANDS LÄN</t>
        </is>
      </c>
      <c r="E304" t="inlineStr">
        <is>
          <t>BOXHOLM</t>
        </is>
      </c>
      <c r="F304" t="inlineStr">
        <is>
          <t>Övriga Aktiebolag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64231-2020</t>
        </is>
      </c>
      <c r="B305" s="1" t="n">
        <v>44168</v>
      </c>
      <c r="C305" s="1" t="n">
        <v>45878</v>
      </c>
      <c r="D305" t="inlineStr">
        <is>
          <t>ÖSTERGÖTLANDS LÄN</t>
        </is>
      </c>
      <c r="E305" t="inlineStr">
        <is>
          <t>BOXHOLM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69327-2020</t>
        </is>
      </c>
      <c r="B306" s="1" t="n">
        <v>44193</v>
      </c>
      <c r="C306" s="1" t="n">
        <v>45878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Övriga Aktiebolag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47978-2023</t>
        </is>
      </c>
      <c r="B307" s="1" t="n">
        <v>45204</v>
      </c>
      <c r="C307" s="1" t="n">
        <v>45878</v>
      </c>
      <c r="D307" t="inlineStr">
        <is>
          <t>ÖSTERGÖTLANDS LÄN</t>
        </is>
      </c>
      <c r="E307" t="inlineStr">
        <is>
          <t>BOXHOLM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56909-2020</t>
        </is>
      </c>
      <c r="B308" s="1" t="n">
        <v>44138</v>
      </c>
      <c r="C308" s="1" t="n">
        <v>45878</v>
      </c>
      <c r="D308" t="inlineStr">
        <is>
          <t>ÖSTERGÖTLANDS LÄN</t>
        </is>
      </c>
      <c r="E308" t="inlineStr">
        <is>
          <t>BOXHOLM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41973-2024</t>
        </is>
      </c>
      <c r="B309" s="1" t="n">
        <v>45561.61577546296</v>
      </c>
      <c r="C309" s="1" t="n">
        <v>45878</v>
      </c>
      <c r="D309" t="inlineStr">
        <is>
          <t>ÖSTERGÖTLANDS LÄN</t>
        </is>
      </c>
      <c r="E309" t="inlineStr">
        <is>
          <t>BOXHOLM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15526-2023</t>
        </is>
      </c>
      <c r="B310" s="1" t="n">
        <v>45020.5508912037</v>
      </c>
      <c r="C310" s="1" t="n">
        <v>45878</v>
      </c>
      <c r="D310" t="inlineStr">
        <is>
          <t>ÖSTERGÖTLANDS LÄN</t>
        </is>
      </c>
      <c r="E310" t="inlineStr">
        <is>
          <t>BOXHOLM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62192-2022</t>
        </is>
      </c>
      <c r="B311" s="1" t="n">
        <v>44914</v>
      </c>
      <c r="C311" s="1" t="n">
        <v>45878</v>
      </c>
      <c r="D311" t="inlineStr">
        <is>
          <t>ÖSTERGÖTLANDS LÄN</t>
        </is>
      </c>
      <c r="E311" t="inlineStr">
        <is>
          <t>BOXHOLM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954-2024</t>
        </is>
      </c>
      <c r="B312" s="1" t="n">
        <v>45301.56914351852</v>
      </c>
      <c r="C312" s="1" t="n">
        <v>45878</v>
      </c>
      <c r="D312" t="inlineStr">
        <is>
          <t>ÖSTERGÖTLANDS LÄN</t>
        </is>
      </c>
      <c r="E312" t="inlineStr">
        <is>
          <t>BOXHOLM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965-2024</t>
        </is>
      </c>
      <c r="B313" s="1" t="n">
        <v>45301.57965277778</v>
      </c>
      <c r="C313" s="1" t="n">
        <v>45878</v>
      </c>
      <c r="D313" t="inlineStr">
        <is>
          <t>ÖSTERGÖTLANDS LÄN</t>
        </is>
      </c>
      <c r="E313" t="inlineStr">
        <is>
          <t>BOXHOLM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46588-2021</t>
        </is>
      </c>
      <c r="B314" s="1" t="n">
        <v>44445.52287037037</v>
      </c>
      <c r="C314" s="1" t="n">
        <v>45878</v>
      </c>
      <c r="D314" t="inlineStr">
        <is>
          <t>ÖSTERGÖTLANDS LÄN</t>
        </is>
      </c>
      <c r="E314" t="inlineStr">
        <is>
          <t>BOXHOLM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51551-2023</t>
        </is>
      </c>
      <c r="B315" s="1" t="n">
        <v>45222.42771990741</v>
      </c>
      <c r="C315" s="1" t="n">
        <v>45878</v>
      </c>
      <c r="D315" t="inlineStr">
        <is>
          <t>ÖSTERGÖTLANDS LÄN</t>
        </is>
      </c>
      <c r="E315" t="inlineStr">
        <is>
          <t>BOXHOLM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50239-2024</t>
        </is>
      </c>
      <c r="B316" s="1" t="n">
        <v>45600.56137731481</v>
      </c>
      <c r="C316" s="1" t="n">
        <v>45878</v>
      </c>
      <c r="D316" t="inlineStr">
        <is>
          <t>ÖSTERGÖTLANDS LÄN</t>
        </is>
      </c>
      <c r="E316" t="inlineStr">
        <is>
          <t>BOXHOLM</t>
        </is>
      </c>
      <c r="F316" t="inlineStr">
        <is>
          <t>Övriga Aktiebolag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50251-2024</t>
        </is>
      </c>
      <c r="B317" s="1" t="n">
        <v>45600.57158564815</v>
      </c>
      <c r="C317" s="1" t="n">
        <v>45878</v>
      </c>
      <c r="D317" t="inlineStr">
        <is>
          <t>ÖSTERGÖTLANDS LÄN</t>
        </is>
      </c>
      <c r="E317" t="inlineStr">
        <is>
          <t>BOXHOLM</t>
        </is>
      </c>
      <c r="F317" t="inlineStr">
        <is>
          <t>Övriga Aktiebolag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8771-2022</t>
        </is>
      </c>
      <c r="B318" s="1" t="n">
        <v>44614.39498842593</v>
      </c>
      <c r="C318" s="1" t="n">
        <v>45878</v>
      </c>
      <c r="D318" t="inlineStr">
        <is>
          <t>ÖSTERGÖTLANDS LÄN</t>
        </is>
      </c>
      <c r="E318" t="inlineStr">
        <is>
          <t>BOXHOLM</t>
        </is>
      </c>
      <c r="F318" t="inlineStr">
        <is>
          <t>Övriga Aktiebolag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4190-2024</t>
        </is>
      </c>
      <c r="B319" s="1" t="n">
        <v>45324.33511574074</v>
      </c>
      <c r="C319" s="1" t="n">
        <v>45878</v>
      </c>
      <c r="D319" t="inlineStr">
        <is>
          <t>ÖSTERGÖTLANDS LÄN</t>
        </is>
      </c>
      <c r="E319" t="inlineStr">
        <is>
          <t>BOXHOLM</t>
        </is>
      </c>
      <c r="F319" t="inlineStr">
        <is>
          <t>Övriga Aktiebolag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15769-2023</t>
        </is>
      </c>
      <c r="B320" s="1" t="n">
        <v>45021.6455787037</v>
      </c>
      <c r="C320" s="1" t="n">
        <v>45878</v>
      </c>
      <c r="D320" t="inlineStr">
        <is>
          <t>ÖSTERGÖTLANDS LÄN</t>
        </is>
      </c>
      <c r="E320" t="inlineStr">
        <is>
          <t>BOXHOLM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>
      <c r="A321" t="inlineStr">
        <is>
          <t>A 57570-2023</t>
        </is>
      </c>
      <c r="B321" s="1" t="n">
        <v>45246</v>
      </c>
      <c r="C321" s="1" t="n">
        <v>45878</v>
      </c>
      <c r="D321" t="inlineStr">
        <is>
          <t>ÖSTERGÖTLANDS LÄN</t>
        </is>
      </c>
      <c r="E321" t="inlineStr">
        <is>
          <t>BOXHOLM</t>
        </is>
      </c>
      <c r="F321" t="inlineStr">
        <is>
          <t>Övriga Aktiebolag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2025-08-09T18:53:33Z</dcterms:created>
  <dcterms:modified xmlns:dcterms="http://purl.org/dc/terms/" xmlns:xsi="http://www.w3.org/2001/XMLSchema-instance" xsi:type="dcterms:W3CDTF">2025-08-09T18:53:33Z</dcterms:modified>
</cp:coreProperties>
</file>